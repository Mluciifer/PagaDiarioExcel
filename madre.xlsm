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PagaDiario\"/>
    </mc:Choice>
  </mc:AlternateContent>
  <bookViews>
    <workbookView xWindow="0" yWindow="0" windowWidth="20490" windowHeight="9045" firstSheet="9" activeTab="16"/>
  </bookViews>
  <sheets>
    <sheet name="carlos" sheetId="1" r:id="rId1"/>
    <sheet name="ANTONIO" sheetId="2" r:id="rId2"/>
    <sheet name="JAVIER" sheetId="3" r:id="rId3"/>
    <sheet name="DAISON" sheetId="6" r:id="rId4"/>
    <sheet name="WILMER" sheetId="5" r:id="rId5"/>
    <sheet name="JEFFERSON" sheetId="7" r:id="rId6"/>
    <sheet name="ANDRES" sheetId="8" r:id="rId7"/>
    <sheet name="BLANCA" sheetId="9" r:id="rId8"/>
    <sheet name="ALBEIRO" sheetId="10" r:id="rId9"/>
    <sheet name="JESUS" sheetId="11" r:id="rId10"/>
    <sheet name="CESAR" sheetId="12" r:id="rId11"/>
    <sheet name="JHONFREDY" sheetId="13" r:id="rId12"/>
    <sheet name="ENRIQUE" sheetId="15" r:id="rId13"/>
    <sheet name="ALEXANDER" sheetId="16" r:id="rId14"/>
    <sheet name="ZARCO" sheetId="17" r:id="rId15"/>
    <sheet name="ROSIRI" sheetId="18" r:id="rId16"/>
    <sheet name="Hoja1" sheetId="19" r:id="rId17"/>
    <sheet name="resultados" sheetId="4" r:id="rId18"/>
  </sheets>
  <definedNames>
    <definedName name="_xlnm._FilterDatabase" localSheetId="8" hidden="1">ALBEIRO!$A$7:$A$11</definedName>
    <definedName name="_xlnm._FilterDatabase" localSheetId="13" hidden="1">ALEXANDER!$A$7:$A$50</definedName>
    <definedName name="_xlnm._FilterDatabase" localSheetId="6" hidden="1">ANDRES!$A$7:$A$50</definedName>
    <definedName name="_xlnm._FilterDatabase" localSheetId="1" hidden="1">ANTONIO!$A$7:$A$46</definedName>
    <definedName name="_xlnm._FilterDatabase" localSheetId="7" hidden="1">BLANCA!$A$7:$A$11</definedName>
    <definedName name="_xlnm._FilterDatabase" localSheetId="0" hidden="1">carlos!$A$7:$A$62</definedName>
    <definedName name="_xlnm._FilterDatabase" localSheetId="10" hidden="1">CESAR!$A$7:$A$10</definedName>
    <definedName name="_xlnm._FilterDatabase" localSheetId="3" hidden="1">DAISON!$A$7:$A$50</definedName>
    <definedName name="_xlnm._FilterDatabase" localSheetId="12" hidden="1">ENRIQUE!$A$7:$A$8</definedName>
    <definedName name="_xlnm._FilterDatabase" localSheetId="2" hidden="1">JAVIER!$A$7:$A$47</definedName>
    <definedName name="_xlnm._FilterDatabase" localSheetId="5" hidden="1">JEFFERSON!$A$7:$A$52</definedName>
    <definedName name="_xlnm._FilterDatabase" localSheetId="9" hidden="1">JESUS!$A$7:$A$11</definedName>
    <definedName name="_xlnm._FilterDatabase" localSheetId="11" hidden="1">JHONFREDY!$A$7:$A$10</definedName>
    <definedName name="_xlnm._FilterDatabase" localSheetId="15" hidden="1">ROSIRI!$A$7:$A$20</definedName>
    <definedName name="_xlnm._FilterDatabase" localSheetId="4" hidden="1">WILMER!$A$7:$A$53</definedName>
    <definedName name="_xlnm._FilterDatabase" localSheetId="14" hidden="1">ZARCO!$A$7:$A$10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B13" i="19" l="1"/>
  <c r="B4" i="5" l="1"/>
  <c r="B3" i="5"/>
  <c r="B2" i="5"/>
  <c r="B2" i="1"/>
  <c r="B3" i="1"/>
  <c r="B4" i="18"/>
  <c r="B3" i="18"/>
  <c r="B2" i="18"/>
  <c r="B4" i="17" l="1"/>
  <c r="B3" i="17"/>
  <c r="B2" i="17"/>
  <c r="B4" i="16"/>
  <c r="B3" i="16"/>
  <c r="B2" i="16"/>
  <c r="B4" i="15"/>
  <c r="B3" i="15"/>
  <c r="B2" i="15"/>
  <c r="B4" i="13"/>
  <c r="B3" i="13"/>
  <c r="B2" i="13"/>
  <c r="B4" i="12"/>
  <c r="B3" i="12"/>
  <c r="B2" i="12"/>
  <c r="B4" i="11"/>
  <c r="B3" i="11"/>
  <c r="B2" i="11"/>
  <c r="B4" i="10"/>
  <c r="B3" i="10"/>
  <c r="B2" i="10"/>
  <c r="B4" i="9"/>
  <c r="B3" i="9"/>
  <c r="B2" i="9"/>
  <c r="B4" i="8"/>
  <c r="B2" i="8"/>
  <c r="B3" i="8"/>
  <c r="B4" i="7"/>
  <c r="B3" i="7"/>
  <c r="B4" i="6"/>
  <c r="B3" i="6"/>
  <c r="B2" i="6"/>
  <c r="B4" i="3"/>
  <c r="B3" i="3"/>
  <c r="B2" i="3"/>
  <c r="B4" i="2"/>
  <c r="B3" i="2"/>
  <c r="B2" i="2"/>
  <c r="B4" i="1"/>
  <c r="B5" i="1" s="1"/>
  <c r="D5" i="1" s="1"/>
  <c r="F1" i="19" l="1"/>
  <c r="B5" i="17" l="1"/>
  <c r="D5" i="17" s="1"/>
  <c r="B5" i="15"/>
  <c r="D5" i="15" s="1"/>
  <c r="B5" i="9"/>
  <c r="D5" i="9" s="1"/>
  <c r="B5" i="13" l="1"/>
  <c r="D5" i="13" s="1"/>
  <c r="B5" i="18"/>
  <c r="B5" i="16"/>
  <c r="B5" i="12"/>
  <c r="D5" i="12" s="1"/>
  <c r="B5" i="11"/>
  <c r="D5" i="11" s="1"/>
  <c r="B5" i="10"/>
  <c r="D5" i="10" s="1"/>
  <c r="B5" i="7"/>
  <c r="B5" i="5"/>
  <c r="D5" i="5" s="1"/>
  <c r="B5" i="3"/>
  <c r="D5" i="3" s="1"/>
  <c r="B5" i="2"/>
  <c r="D5" i="2" s="1"/>
  <c r="D5" i="18" l="1"/>
  <c r="D5" i="16"/>
  <c r="D5" i="7"/>
  <c r="B5" i="6"/>
  <c r="D5" i="6" s="1"/>
  <c r="B5" i="8"/>
  <c r="D5" i="8" s="1"/>
  <c r="C10" i="19" l="1"/>
  <c r="D10" i="19" s="1"/>
  <c r="B1" i="4"/>
</calcChain>
</file>

<file path=xl/sharedStrings.xml><?xml version="1.0" encoding="utf-8"?>
<sst xmlns="http://schemas.openxmlformats.org/spreadsheetml/2006/main" count="263" uniqueCount="71">
  <si>
    <t>CARLOS</t>
  </si>
  <si>
    <t>abonos</t>
  </si>
  <si>
    <t>pagado</t>
  </si>
  <si>
    <t>no pagado</t>
  </si>
  <si>
    <t>total deuda</t>
  </si>
  <si>
    <t>ANTONIO</t>
  </si>
  <si>
    <t>excedente del dia anterior</t>
  </si>
  <si>
    <t>deuda total</t>
  </si>
  <si>
    <t>JAVIER</t>
  </si>
  <si>
    <t xml:space="preserve">paga 35.000 5 dias </t>
  </si>
  <si>
    <t>abona el dia siguiente</t>
  </si>
  <si>
    <t>21000 adelanta 14000</t>
  </si>
  <si>
    <t>WILMER</t>
  </si>
  <si>
    <t>DAISON</t>
  </si>
  <si>
    <t>JEFFERSON</t>
  </si>
  <si>
    <t>DIAS EN DEUDA</t>
  </si>
  <si>
    <t>INICIA DEUDA</t>
  </si>
  <si>
    <t>PAGA SEMANAL</t>
  </si>
  <si>
    <t>ANDRES</t>
  </si>
  <si>
    <t>dias sin pagar</t>
  </si>
  <si>
    <t>BLANCA</t>
  </si>
  <si>
    <t>ALBEIRO</t>
  </si>
  <si>
    <t>JESUS</t>
  </si>
  <si>
    <t>CESAR Y DENNIS</t>
  </si>
  <si>
    <t>ENRIQUE</t>
  </si>
  <si>
    <t>ALEXANDER</t>
  </si>
  <si>
    <t>ZARCO</t>
  </si>
  <si>
    <t>ROSIRI</t>
  </si>
  <si>
    <t>PAGA EL DIA A $ 9.000  (al dia)</t>
  </si>
  <si>
    <t>Nombre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</si>
  <si>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</si>
  <si>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</si>
  <si>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</si>
  <si>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</si>
  <si>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</si>
  <si>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</si>
  <si>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</si>
  <si>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</si>
  <si>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</si>
  <si>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</si>
  <si>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</si>
  <si>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</si>
  <si>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CARLOS </t>
  </si>
  <si>
    <t>CESAR</t>
  </si>
  <si>
    <t>JHONFREDY</t>
  </si>
  <si>
    <t>PAGO</t>
  </si>
  <si>
    <t>NO PAGO</t>
  </si>
  <si>
    <t>ABONO</t>
  </si>
  <si>
    <t>inicia en julio</t>
  </si>
  <si>
    <t>NOTAS AL PIE</t>
  </si>
  <si>
    <t>FECHA</t>
  </si>
  <si>
    <t>NoPAGO</t>
  </si>
  <si>
    <t>NOTA AL PIE</t>
  </si>
  <si>
    <t>TOTAL DEUDA:</t>
  </si>
  <si>
    <t>DIAS EN DEUDA:</t>
  </si>
  <si>
    <t>REGISTRAR INGRESO</t>
  </si>
  <si>
    <t xml:space="preserve">NOTAS AL PIE </t>
  </si>
  <si>
    <t>inicia con deuda de 112.000</t>
  </si>
  <si>
    <t>19/8/2020</t>
  </si>
  <si>
    <t>11/8/2020</t>
  </si>
  <si>
    <t>12/8/2020</t>
  </si>
  <si>
    <t>13/8/2020</t>
  </si>
  <si>
    <t>14/8/2020</t>
  </si>
  <si>
    <t>15/8/2020</t>
  </si>
  <si>
    <t>16/8/2020</t>
  </si>
  <si>
    <t>17/8/2020</t>
  </si>
  <si>
    <t>18/8/2020</t>
  </si>
  <si>
    <t>ANULADO POR IRSE SIN PAGO</t>
  </si>
  <si>
    <t>20/8/2020</t>
  </si>
  <si>
    <t>ANULADO SE VA SIN PAGAR</t>
  </si>
  <si>
    <t>22/8/2020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</si>
</sst>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"/>
    <numFmt numFmtId="165" formatCode="[$-F800]dddd\,\ mmmm\ dd\,\ yyyy"/>
    <numFmt numFmtId="166" formatCode="&quot;$&quot;#,##0;[Red]&quot;$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1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3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 wrapText="1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 wrapText="1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Protection="1">
      <protection locked="0" hidden="1"/>
    </xf>
    <xf numFmtId="0" fontId="2" fillId="0" borderId="0" xfId="0" applyNumberFormat="1" applyFont="1" applyAlignment="1" applyProtection="1">
      <alignment horizontal="left"/>
      <protection locked="0" hidden="1"/>
    </xf>
    <xf numFmtId="0" fontId="2" fillId="0" borderId="0" xfId="0" applyNumberFormat="1" applyFont="1" applyProtection="1">
      <protection locked="0" hidden="1"/>
    </xf>
    <xf numFmtId="0" fontId="0" fillId="0" borderId="0" xfId="0" applyProtection="1">
      <protection locked="0" hidden="1"/>
    </xf>
    <xf numFmtId="0" fontId="2" fillId="0" borderId="0" xfId="0" applyFont="1" applyProtection="1">
      <protection hidden="1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Style="combo" dx="16" fmlaLink="$A$3" fmlaRange="$X$1:$X$12" noThreeD="1" sel="8" val="4"/>
</file>

<file path=xl/ctrlProps/ctrlProp18.xml><?xml version="1.0" encoding="utf-8"?>
<formControlPr xmlns="http://schemas.microsoft.com/office/spreadsheetml/2009/9/main" objectType="Drop" dropStyle="combo" dx="16" fmlaLink="$A$4" fmlaRange="$W$1:$W$31" noThreeD="1" sel="22" val="17"/>
</file>

<file path=xl/ctrlProps/ctrlProp19.xml><?xml version="1.0" encoding="utf-8"?>
<formControlPr xmlns="http://schemas.microsoft.com/office/spreadsheetml/2009/9/main" objectType="Drop" dropStyle="combo" dx="16" fmlaLink="$A$9" fmlaRange="$V$1:$V$16" noThreeD="1" val="0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95250</xdr:rowOff>
        </xdr:from>
        <xdr:to>
          <xdr:col>5</xdr:col>
          <xdr:colOff>723900</xdr:colOff>
          <xdr:row>2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0</xdr:row>
          <xdr:rowOff>57150</xdr:rowOff>
        </xdr:from>
        <xdr:to>
          <xdr:col>6</xdr:col>
          <xdr:colOff>85725</xdr:colOff>
          <xdr:row>1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0</xdr:row>
          <xdr:rowOff>38100</xdr:rowOff>
        </xdr:from>
        <xdr:to>
          <xdr:col>6</xdr:col>
          <xdr:colOff>95250</xdr:colOff>
          <xdr:row>1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47625</xdr:rowOff>
        </xdr:from>
        <xdr:to>
          <xdr:col>6</xdr:col>
          <xdr:colOff>66675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0</xdr:row>
          <xdr:rowOff>66675</xdr:rowOff>
        </xdr:from>
        <xdr:to>
          <xdr:col>6</xdr:col>
          <xdr:colOff>85725</xdr:colOff>
          <xdr:row>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66675</xdr:rowOff>
        </xdr:from>
        <xdr:to>
          <xdr:col>6</xdr:col>
          <xdr:colOff>114300</xdr:colOff>
          <xdr:row>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57150</xdr:rowOff>
        </xdr:from>
        <xdr:to>
          <xdr:col>6</xdr:col>
          <xdr:colOff>66675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76200</xdr:rowOff>
        </xdr:from>
        <xdr:to>
          <xdr:col>6</xdr:col>
          <xdr:colOff>133350</xdr:colOff>
          <xdr:row>1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57150</xdr:rowOff>
        </xdr:from>
        <xdr:to>
          <xdr:col>6</xdr:col>
          <xdr:colOff>66675</xdr:colOff>
          <xdr:row>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47625</xdr:rowOff>
        </xdr:from>
        <xdr:to>
          <xdr:col>6</xdr:col>
          <xdr:colOff>0</xdr:colOff>
          <xdr:row>1</xdr:row>
          <xdr:rowOff>142875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28575</xdr:rowOff>
        </xdr:from>
        <xdr:to>
          <xdr:col>6</xdr:col>
          <xdr:colOff>0</xdr:colOff>
          <xdr:row>0</xdr:row>
          <xdr:rowOff>314325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0</xdr:row>
          <xdr:rowOff>38100</xdr:rowOff>
        </xdr:from>
        <xdr:to>
          <xdr:col>6</xdr:col>
          <xdr:colOff>57150</xdr:colOff>
          <xdr:row>1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0</xdr:row>
          <xdr:rowOff>66675</xdr:rowOff>
        </xdr:from>
        <xdr:to>
          <xdr:col>6</xdr:col>
          <xdr:colOff>38100</xdr:colOff>
          <xdr:row>1</xdr:row>
          <xdr:rowOff>161925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0</xdr:row>
          <xdr:rowOff>66675</xdr:rowOff>
        </xdr:from>
        <xdr:to>
          <xdr:col>6</xdr:col>
          <xdr:colOff>104775</xdr:colOff>
          <xdr:row>1</xdr:row>
          <xdr:rowOff>161925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0</xdr:row>
          <xdr:rowOff>76200</xdr:rowOff>
        </xdr:from>
        <xdr:to>
          <xdr:col>6</xdr:col>
          <xdr:colOff>47625</xdr:colOff>
          <xdr:row>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95250</xdr:rowOff>
        </xdr:from>
        <xdr:to>
          <xdr:col>5</xdr:col>
          <xdr:colOff>723900</xdr:colOff>
          <xdr:row>2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990600</xdr:colOff>
          <xdr:row>13</xdr:row>
          <xdr:rowOff>19050</xdr:rowOff>
        </xdr:to>
        <xdr:sp macro="" textlink="">
          <xdr:nvSpPr>
            <xdr:cNvPr id="15370" name="Drop Dow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12</xdr:row>
          <xdr:rowOff>9525</xdr:rowOff>
        </xdr:from>
        <xdr:to>
          <xdr:col>1</xdr:col>
          <xdr:colOff>104775</xdr:colOff>
          <xdr:row>13</xdr:row>
          <xdr:rowOff>28575</xdr:rowOff>
        </xdr:to>
        <xdr:sp macro="" textlink="">
          <xdr:nvSpPr>
            <xdr:cNvPr id="15374" name="Drop Down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180975</xdr:rowOff>
        </xdr:from>
        <xdr:to>
          <xdr:col>1</xdr:col>
          <xdr:colOff>923925</xdr:colOff>
          <xdr:row>9</xdr:row>
          <xdr:rowOff>28575</xdr:rowOff>
        </xdr:to>
        <xdr:sp macro="" textlink="">
          <xdr:nvSpPr>
            <xdr:cNvPr id="15379" name="Drop Dow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14</xdr:row>
          <xdr:rowOff>19050</xdr:rowOff>
        </xdr:from>
        <xdr:to>
          <xdr:col>4</xdr:col>
          <xdr:colOff>733425</xdr:colOff>
          <xdr:row>16</xdr:row>
          <xdr:rowOff>19050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18</xdr:row>
          <xdr:rowOff>9525</xdr:rowOff>
        </xdr:from>
        <xdr:to>
          <xdr:col>4</xdr:col>
          <xdr:colOff>733425</xdr:colOff>
          <xdr:row>20</xdr:row>
          <xdr:rowOff>9525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95251</xdr:rowOff>
        </xdr:from>
        <xdr:to>
          <xdr:col>0</xdr:col>
          <xdr:colOff>723900</xdr:colOff>
          <xdr:row>9</xdr:row>
          <xdr:rowOff>171451</xdr:rowOff>
        </xdr:to>
        <xdr:sp macro="" textlink="">
          <xdr:nvSpPr>
            <xdr:cNvPr id="15382" name="Button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 Detallada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15</xdr:row>
          <xdr:rowOff>104775</xdr:rowOff>
        </xdr:from>
        <xdr:to>
          <xdr:col>2</xdr:col>
          <xdr:colOff>733425</xdr:colOff>
          <xdr:row>17</xdr:row>
          <xdr:rowOff>133350</xdr:rowOff>
        </xdr:to>
        <xdr:sp macro="" textlink="">
          <xdr:nvSpPr>
            <xdr:cNvPr id="15383" name="Button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52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4.42578125" customWidth="1"/>
    <col min="2" max="4" width="11.42578125" style="4"/>
    <col min="6" max="6" width="17.5703125" customWidth="1"/>
  </cols>
  <sheetData>
    <row r="1" spans="1:5" x14ac:dyDescent="0.25">
      <c r="A1" s="7" t="s">
        <v>0</v>
      </c>
    </row>
    <row r="2" spans="1:5" x14ac:dyDescent="0.25">
      <c r="A2" s="14" t="s">
        <v>3</v>
      </c>
      <c r="B2" s="16">
        <f>SUM(C7:C503)</f>
        <v>108000</v>
      </c>
    </row>
    <row r="3" spans="1:5" x14ac:dyDescent="0.25">
      <c r="A3" s="14" t="s">
        <v>2</v>
      </c>
      <c r="B3" s="16">
        <f>SUM(B7:B503)</f>
        <v>198000</v>
      </c>
    </row>
    <row r="4" spans="1:5" x14ac:dyDescent="0.25">
      <c r="A4" s="14" t="s">
        <v>1</v>
      </c>
      <c r="B4" s="16">
        <f>SUM(D7:D503)</f>
        <v>56000</v>
      </c>
    </row>
    <row r="5" spans="1:5" ht="30" x14ac:dyDescent="0.25">
      <c r="A5" s="15" t="s">
        <v>4</v>
      </c>
      <c r="B5" s="17">
        <f>B2-B4</f>
        <v>52000</v>
      </c>
      <c r="C5" s="6" t="s">
        <v>15</v>
      </c>
      <c r="D5" s="16">
        <f>B5/7000</f>
        <v>7.4285714285714288</v>
      </c>
    </row>
    <row r="6" spans="1:5" x14ac:dyDescent="0.25">
      <c r="A6" s="4"/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3" t="s">
        <v>49</v>
      </c>
    </row>
    <row r="8" spans="1:5" x14ac:dyDescent="0.25">
      <c r="A8" s="7"/>
      <c r="B8" s="7"/>
      <c r="C8" s="7"/>
      <c r="D8" s="7"/>
      <c r="E8" s="3"/>
    </row>
    <row r="9" spans="1:5" x14ac:dyDescent="0.25">
      <c r="A9" s="7" t="s">
        <v>70</v>
      </c>
      <c r="B9" s="7">
        <v>0</v>
      </c>
      <c r="C9" s="7">
        <v>5000</v>
      </c>
      <c r="D9" s="7">
        <v>0</v>
      </c>
      <c r="E9" s="3">
        <v>0</v>
      </c>
    </row>
    <row r="10" spans="1:5" x14ac:dyDescent="0.25">
      <c r="A10" s="7" t="s">
        <v>58</v>
      </c>
      <c r="B10" s="7">
        <v>7000</v>
      </c>
      <c r="C10" s="7">
        <v>0</v>
      </c>
      <c r="D10" s="7">
        <v>0</v>
      </c>
      <c r="E10" s="3">
        <v>0</v>
      </c>
    </row>
    <row r="11" spans="1:5" x14ac:dyDescent="0.25">
      <c r="A11" s="7" t="s">
        <v>58</v>
      </c>
      <c r="B11" s="7">
        <v>7000</v>
      </c>
      <c r="C11" s="7">
        <v>0</v>
      </c>
      <c r="D11" s="7">
        <v>0</v>
      </c>
      <c r="E11" s="3">
        <v>0</v>
      </c>
    </row>
    <row r="12" spans="1:5" x14ac:dyDescent="0.25">
      <c r="A12" s="7" t="s">
        <v>66</v>
      </c>
      <c r="B12" s="7">
        <v>7000</v>
      </c>
      <c r="C12" s="7">
        <v>0</v>
      </c>
      <c r="D12" s="7">
        <v>7000</v>
      </c>
      <c r="E12" s="3">
        <v>0</v>
      </c>
    </row>
    <row r="13" spans="1:5" x14ac:dyDescent="0.25">
      <c r="A13" s="7" t="s">
        <v>65</v>
      </c>
      <c r="B13" s="7">
        <v>7000</v>
      </c>
      <c r="C13" s="7">
        <v>0</v>
      </c>
      <c r="D13" s="7">
        <v>1000</v>
      </c>
      <c r="E13" s="3">
        <v>0</v>
      </c>
    </row>
    <row r="14" spans="1:5" x14ac:dyDescent="0.25">
      <c r="A14" s="7" t="s">
        <v>64</v>
      </c>
      <c r="B14" s="7">
        <v>7000</v>
      </c>
      <c r="C14" s="7">
        <v>0</v>
      </c>
      <c r="D14" s="7">
        <v>0</v>
      </c>
      <c r="E14" s="3">
        <v>0</v>
      </c>
    </row>
    <row r="15" spans="1:5" x14ac:dyDescent="0.25">
      <c r="A15" s="7" t="s">
        <v>63</v>
      </c>
      <c r="B15" s="7">
        <v>0</v>
      </c>
      <c r="C15" s="7">
        <v>7000</v>
      </c>
      <c r="D15" s="7">
        <v>0</v>
      </c>
      <c r="E15" s="3">
        <v>0</v>
      </c>
    </row>
    <row r="16" spans="1:5" x14ac:dyDescent="0.25">
      <c r="A16" s="7" t="s">
        <v>62</v>
      </c>
      <c r="B16" s="7">
        <v>7000</v>
      </c>
      <c r="C16" s="7">
        <v>0</v>
      </c>
      <c r="D16" s="7">
        <v>0</v>
      </c>
      <c r="E16" s="3">
        <v>0</v>
      </c>
    </row>
    <row r="17" spans="1:5" x14ac:dyDescent="0.25">
      <c r="A17" s="7" t="s">
        <v>61</v>
      </c>
      <c r="B17" s="7">
        <v>0</v>
      </c>
      <c r="C17" s="7">
        <v>7000</v>
      </c>
      <c r="D17" s="7">
        <v>0</v>
      </c>
      <c r="E17" s="3">
        <v>0</v>
      </c>
    </row>
    <row r="18" spans="1:5" x14ac:dyDescent="0.25">
      <c r="A18" s="7" t="s">
        <v>60</v>
      </c>
      <c r="B18" s="7">
        <v>7000</v>
      </c>
      <c r="C18" s="7">
        <v>0</v>
      </c>
      <c r="D18" s="7">
        <v>14000</v>
      </c>
      <c r="E18" s="3">
        <v>0</v>
      </c>
    </row>
    <row r="19" spans="1:5" x14ac:dyDescent="0.25">
      <c r="A19" s="7" t="s">
        <v>59</v>
      </c>
      <c r="B19" s="7">
        <v>0</v>
      </c>
      <c r="C19" s="7">
        <v>7000</v>
      </c>
      <c r="D19" s="7">
        <v>0</v>
      </c>
      <c r="E19" s="3">
        <v>0</v>
      </c>
    </row>
    <row r="20" spans="1:5" x14ac:dyDescent="0.25">
      <c r="A20" s="2">
        <v>44053</v>
      </c>
      <c r="B20" s="4">
        <v>7000</v>
      </c>
    </row>
    <row r="21" spans="1:5" x14ac:dyDescent="0.25">
      <c r="A21" s="2">
        <v>44052</v>
      </c>
      <c r="B21" s="4">
        <v>7000</v>
      </c>
    </row>
    <row r="22" spans="1:5" x14ac:dyDescent="0.25">
      <c r="A22" s="2">
        <v>44051</v>
      </c>
      <c r="B22" s="4">
        <v>7000</v>
      </c>
    </row>
    <row r="23" spans="1:5" x14ac:dyDescent="0.25">
      <c r="A23" s="2">
        <v>44050</v>
      </c>
      <c r="B23" s="4">
        <v>7000</v>
      </c>
    </row>
    <row r="24" spans="1:5" x14ac:dyDescent="0.25">
      <c r="A24" s="2">
        <v>44049</v>
      </c>
      <c r="B24" s="4">
        <v>7000</v>
      </c>
    </row>
    <row r="25" spans="1:5" x14ac:dyDescent="0.25">
      <c r="A25" s="2">
        <v>44048</v>
      </c>
      <c r="B25" s="4">
        <v>7000</v>
      </c>
    </row>
    <row r="26" spans="1:5" x14ac:dyDescent="0.25">
      <c r="A26" s="2">
        <v>44047</v>
      </c>
      <c r="B26" s="4">
        <v>7000</v>
      </c>
      <c r="D26" s="4">
        <v>14000</v>
      </c>
    </row>
    <row r="27" spans="1:5" x14ac:dyDescent="0.25">
      <c r="A27" s="2">
        <v>44046</v>
      </c>
      <c r="B27" s="4">
        <v>7000</v>
      </c>
    </row>
    <row r="28" spans="1:5" x14ac:dyDescent="0.25">
      <c r="A28" s="2">
        <v>44045</v>
      </c>
      <c r="C28" s="4">
        <v>7000</v>
      </c>
    </row>
    <row r="29" spans="1:5" x14ac:dyDescent="0.25">
      <c r="A29" s="2">
        <v>44044</v>
      </c>
      <c r="C29" s="4">
        <v>7000</v>
      </c>
    </row>
    <row r="30" spans="1:5" x14ac:dyDescent="0.25">
      <c r="A30" s="2">
        <v>44043</v>
      </c>
      <c r="B30" s="4">
        <v>7000</v>
      </c>
      <c r="D30" s="4">
        <v>7000</v>
      </c>
    </row>
    <row r="31" spans="1:5" x14ac:dyDescent="0.25">
      <c r="A31" s="2">
        <v>44042</v>
      </c>
      <c r="C31" s="4">
        <v>7000</v>
      </c>
    </row>
    <row r="32" spans="1:5" x14ac:dyDescent="0.25">
      <c r="A32" s="2">
        <v>44041</v>
      </c>
      <c r="B32" s="4">
        <v>7000</v>
      </c>
    </row>
    <row r="33" spans="1:4" x14ac:dyDescent="0.25">
      <c r="A33" s="2">
        <v>44040</v>
      </c>
      <c r="C33" s="4">
        <v>7000</v>
      </c>
    </row>
    <row r="34" spans="1:4" x14ac:dyDescent="0.25">
      <c r="A34" s="2">
        <v>44039</v>
      </c>
      <c r="B34" s="4">
        <v>4000</v>
      </c>
      <c r="C34" s="4">
        <v>3000</v>
      </c>
    </row>
    <row r="35" spans="1:4" x14ac:dyDescent="0.25">
      <c r="A35" s="2">
        <v>44038</v>
      </c>
      <c r="C35" s="4">
        <v>7000</v>
      </c>
    </row>
    <row r="36" spans="1:4" x14ac:dyDescent="0.25">
      <c r="A36" s="2">
        <v>44037</v>
      </c>
      <c r="B36" s="4">
        <v>7000</v>
      </c>
    </row>
    <row r="37" spans="1:4" x14ac:dyDescent="0.25">
      <c r="A37" s="2">
        <v>44036</v>
      </c>
      <c r="C37" s="4">
        <v>7000</v>
      </c>
    </row>
    <row r="38" spans="1:4" x14ac:dyDescent="0.25">
      <c r="A38" s="2">
        <v>44035</v>
      </c>
      <c r="B38" s="4">
        <v>7000</v>
      </c>
    </row>
    <row r="39" spans="1:4" x14ac:dyDescent="0.25">
      <c r="A39" s="2">
        <v>44034</v>
      </c>
      <c r="B39" s="4">
        <v>7000</v>
      </c>
    </row>
    <row r="40" spans="1:4" x14ac:dyDescent="0.25">
      <c r="A40" s="2">
        <v>44033</v>
      </c>
      <c r="C40" s="4">
        <v>7000</v>
      </c>
    </row>
    <row r="41" spans="1:4" x14ac:dyDescent="0.25">
      <c r="A41" s="2">
        <v>44032</v>
      </c>
      <c r="B41" s="4">
        <v>7000</v>
      </c>
    </row>
    <row r="42" spans="1:4" x14ac:dyDescent="0.25">
      <c r="A42" s="2">
        <v>44031</v>
      </c>
      <c r="B42" s="4">
        <v>7000</v>
      </c>
    </row>
    <row r="43" spans="1:4" x14ac:dyDescent="0.25">
      <c r="A43" s="2">
        <v>44030</v>
      </c>
      <c r="B43" s="4">
        <v>7000</v>
      </c>
    </row>
    <row r="44" spans="1:4" x14ac:dyDescent="0.25">
      <c r="A44" s="2">
        <v>44029</v>
      </c>
      <c r="C44" s="4">
        <v>7000</v>
      </c>
    </row>
    <row r="45" spans="1:4" x14ac:dyDescent="0.25">
      <c r="A45" s="2">
        <v>44028</v>
      </c>
      <c r="C45" s="4">
        <v>7000</v>
      </c>
    </row>
    <row r="46" spans="1:4" x14ac:dyDescent="0.25">
      <c r="A46" s="2">
        <v>44027</v>
      </c>
      <c r="B46" s="4">
        <v>7000</v>
      </c>
      <c r="D46" s="4">
        <v>13000</v>
      </c>
    </row>
    <row r="47" spans="1:4" x14ac:dyDescent="0.25">
      <c r="A47" s="2">
        <v>44026</v>
      </c>
      <c r="B47" s="4">
        <v>5000</v>
      </c>
      <c r="C47" s="4">
        <v>2000</v>
      </c>
    </row>
    <row r="48" spans="1:4" x14ac:dyDescent="0.25">
      <c r="A48" s="2">
        <v>44025</v>
      </c>
      <c r="B48" s="4">
        <v>7000</v>
      </c>
    </row>
    <row r="49" spans="1:5" x14ac:dyDescent="0.25">
      <c r="A49" s="2">
        <v>44024</v>
      </c>
      <c r="B49" s="4">
        <v>7000</v>
      </c>
    </row>
    <row r="50" spans="1:5" x14ac:dyDescent="0.25">
      <c r="A50" s="2">
        <v>44023</v>
      </c>
      <c r="C50" s="4">
        <v>7000</v>
      </c>
    </row>
    <row r="51" spans="1:5" x14ac:dyDescent="0.25">
      <c r="A51" s="1">
        <v>44022</v>
      </c>
      <c r="C51" s="4">
        <v>7000</v>
      </c>
    </row>
    <row r="52" spans="1:5" x14ac:dyDescent="0.25">
      <c r="B52" s="4">
        <v>7000</v>
      </c>
      <c r="E52" t="s">
        <v>48</v>
      </c>
    </row>
  </sheetData>
  <sheetProtection sheet="1" objects="1" scenarios="1" insertRows="0"/>
  <autoFilter ref="A7:A62">
    <sortState ref="A9:E59">
      <sortCondition descending="1" ref="A8:A59"/>
    </sortState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NICIO">
                <anchor moveWithCells="1" sizeWithCells="1">
                  <from>
                    <xdr:col>4</xdr:col>
                    <xdr:colOff>609600</xdr:colOff>
                    <xdr:row>0</xdr:row>
                    <xdr:rowOff>95250</xdr:rowOff>
                  </from>
                  <to>
                    <xdr:col>5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E43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3.140625" customWidth="1"/>
    <col min="2" max="4" width="11.42578125" style="4"/>
  </cols>
  <sheetData>
    <row r="1" spans="1:5" x14ac:dyDescent="0.25">
      <c r="A1" s="7" t="s">
        <v>5</v>
      </c>
    </row>
    <row r="2" spans="1:5" x14ac:dyDescent="0.25">
      <c r="A2" t="s">
        <v>3</v>
      </c>
      <c r="B2" s="19">
        <f>SUM(C7:C504)</f>
        <v>98000</v>
      </c>
    </row>
    <row r="3" spans="1:5" x14ac:dyDescent="0.25">
      <c r="A3" t="s">
        <v>2</v>
      </c>
      <c r="B3" s="19">
        <f>SUM(B7:B504)</f>
        <v>140000</v>
      </c>
    </row>
    <row r="4" spans="1:5" x14ac:dyDescent="0.25">
      <c r="A4" t="s">
        <v>1</v>
      </c>
      <c r="B4" s="19">
        <f>SUM(D7:D504)</f>
        <v>52000</v>
      </c>
    </row>
    <row r="5" spans="1:5" ht="30" x14ac:dyDescent="0.25">
      <c r="A5" s="13" t="s">
        <v>4</v>
      </c>
      <c r="B5" s="18">
        <f>B2-B4</f>
        <v>46000</v>
      </c>
      <c r="C5" s="6" t="s">
        <v>15</v>
      </c>
      <c r="D5" s="5">
        <f>B5/7000</f>
        <v>6.5714285714285712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5000</v>
      </c>
      <c r="C9" s="7">
        <v>2000</v>
      </c>
      <c r="D9" s="7">
        <v>0</v>
      </c>
      <c r="E9" s="7">
        <v>0</v>
      </c>
    </row>
    <row r="10" spans="1:5" x14ac:dyDescent="0.25">
      <c r="A10" s="7" t="s">
        <v>58</v>
      </c>
      <c r="B10" s="7">
        <v>0</v>
      </c>
      <c r="C10" s="7">
        <v>0</v>
      </c>
      <c r="D10" s="7">
        <v>42000</v>
      </c>
      <c r="E10" s="7">
        <v>0</v>
      </c>
    </row>
    <row r="11" spans="1:5" x14ac:dyDescent="0.25">
      <c r="A11" s="7" t="s">
        <v>58</v>
      </c>
      <c r="B11" s="7">
        <v>5000</v>
      </c>
      <c r="C11" s="7">
        <v>2000</v>
      </c>
      <c r="D11" s="7">
        <v>0</v>
      </c>
      <c r="E11" s="7">
        <v>0</v>
      </c>
    </row>
    <row r="12" spans="1:5" x14ac:dyDescent="0.25">
      <c r="A12" s="7" t="s">
        <v>66</v>
      </c>
      <c r="B12" s="7">
        <v>5000</v>
      </c>
      <c r="C12" s="7">
        <v>2000</v>
      </c>
      <c r="D12" s="7">
        <v>0</v>
      </c>
      <c r="E12" s="7">
        <v>0</v>
      </c>
    </row>
    <row r="13" spans="1:5" x14ac:dyDescent="0.25">
      <c r="A13" s="7" t="s">
        <v>65</v>
      </c>
      <c r="B13" s="7">
        <v>4000</v>
      </c>
      <c r="C13" s="7">
        <v>3000</v>
      </c>
      <c r="D13" s="7">
        <v>0</v>
      </c>
      <c r="E13" s="7">
        <v>0</v>
      </c>
    </row>
    <row r="14" spans="1:5" x14ac:dyDescent="0.25">
      <c r="A14" s="7" t="s">
        <v>64</v>
      </c>
      <c r="B14" s="7">
        <v>5000</v>
      </c>
      <c r="C14" s="7">
        <v>2000</v>
      </c>
      <c r="D14" s="7">
        <v>0</v>
      </c>
      <c r="E14" s="7">
        <v>0</v>
      </c>
    </row>
    <row r="15" spans="1:5" x14ac:dyDescent="0.25">
      <c r="A15" s="7" t="s">
        <v>63</v>
      </c>
      <c r="B15" s="7">
        <v>4000</v>
      </c>
      <c r="C15" s="7">
        <v>3000</v>
      </c>
      <c r="D15" s="7">
        <v>0</v>
      </c>
      <c r="E15" s="7">
        <v>0</v>
      </c>
    </row>
    <row r="16" spans="1:5" x14ac:dyDescent="0.25">
      <c r="A16" s="7" t="s">
        <v>62</v>
      </c>
      <c r="B16" s="7">
        <v>7000</v>
      </c>
      <c r="C16" s="7">
        <v>0</v>
      </c>
      <c r="D16" s="7">
        <v>3000</v>
      </c>
      <c r="E16" s="7">
        <v>0</v>
      </c>
    </row>
    <row r="17" spans="1:5" x14ac:dyDescent="0.25">
      <c r="A17" s="7" t="s">
        <v>61</v>
      </c>
      <c r="B17" s="7">
        <v>7000</v>
      </c>
      <c r="C17" s="7">
        <v>0</v>
      </c>
      <c r="D17" s="7">
        <v>0</v>
      </c>
      <c r="E17" s="7">
        <v>0</v>
      </c>
    </row>
    <row r="18" spans="1:5" x14ac:dyDescent="0.25">
      <c r="A18" s="7" t="s">
        <v>60</v>
      </c>
      <c r="B18" s="7">
        <v>0</v>
      </c>
      <c r="C18" s="7">
        <v>7000</v>
      </c>
      <c r="D18" s="7">
        <v>0</v>
      </c>
      <c r="E18" s="7">
        <v>0</v>
      </c>
    </row>
    <row r="19" spans="1:5" x14ac:dyDescent="0.25">
      <c r="A19" s="7" t="s">
        <v>59</v>
      </c>
      <c r="B19" s="7">
        <v>0</v>
      </c>
      <c r="C19" s="7">
        <v>7000</v>
      </c>
      <c r="D19" s="7">
        <v>0</v>
      </c>
      <c r="E19" s="7">
        <v>0</v>
      </c>
    </row>
    <row r="20" spans="1:5" x14ac:dyDescent="0.25">
      <c r="A20" s="2">
        <v>44053</v>
      </c>
      <c r="B20" s="4">
        <v>7000</v>
      </c>
      <c r="D20" s="4">
        <v>7000</v>
      </c>
    </row>
    <row r="21" spans="1:5" x14ac:dyDescent="0.25">
      <c r="A21" s="2">
        <v>44052</v>
      </c>
      <c r="C21" s="4">
        <v>7000</v>
      </c>
    </row>
    <row r="22" spans="1:5" x14ac:dyDescent="0.25">
      <c r="A22" s="2">
        <v>44051</v>
      </c>
      <c r="C22" s="4">
        <v>7000</v>
      </c>
    </row>
    <row r="23" spans="1:5" x14ac:dyDescent="0.25">
      <c r="A23" s="2">
        <v>44050</v>
      </c>
      <c r="B23" s="4">
        <v>7000</v>
      </c>
    </row>
    <row r="24" spans="1:5" x14ac:dyDescent="0.25">
      <c r="A24" s="2">
        <v>44049</v>
      </c>
      <c r="C24" s="4">
        <v>7000</v>
      </c>
    </row>
    <row r="25" spans="1:5" x14ac:dyDescent="0.25">
      <c r="A25" s="2">
        <v>44048</v>
      </c>
      <c r="B25" s="4">
        <v>7000</v>
      </c>
    </row>
    <row r="26" spans="1:5" x14ac:dyDescent="0.25">
      <c r="A26" s="2">
        <v>44047</v>
      </c>
      <c r="C26" s="4">
        <v>7000</v>
      </c>
    </row>
    <row r="27" spans="1:5" x14ac:dyDescent="0.25">
      <c r="A27" s="2">
        <v>44046</v>
      </c>
      <c r="C27" s="4">
        <v>7000</v>
      </c>
    </row>
    <row r="28" spans="1:5" x14ac:dyDescent="0.25">
      <c r="A28" s="2">
        <v>44045</v>
      </c>
      <c r="C28" s="4">
        <v>7000</v>
      </c>
    </row>
    <row r="29" spans="1:5" x14ac:dyDescent="0.25">
      <c r="A29" s="2">
        <v>44044</v>
      </c>
      <c r="C29" s="4">
        <v>7000</v>
      </c>
    </row>
    <row r="30" spans="1:5" x14ac:dyDescent="0.25">
      <c r="A30" s="2">
        <v>44043</v>
      </c>
      <c r="C30" s="4">
        <v>7000</v>
      </c>
    </row>
    <row r="31" spans="1:5" x14ac:dyDescent="0.25">
      <c r="A31" s="2">
        <v>44042</v>
      </c>
      <c r="C31" s="4">
        <v>7000</v>
      </c>
    </row>
    <row r="32" spans="1:5" x14ac:dyDescent="0.25">
      <c r="A32" s="2">
        <v>44041</v>
      </c>
      <c r="C32" s="4">
        <v>7000</v>
      </c>
    </row>
    <row r="33" spans="1:5" x14ac:dyDescent="0.25">
      <c r="A33" s="2">
        <v>44040</v>
      </c>
      <c r="B33" s="4">
        <v>7000</v>
      </c>
      <c r="E33" t="s">
        <v>6</v>
      </c>
    </row>
    <row r="34" spans="1:5" x14ac:dyDescent="0.25">
      <c r="A34" s="2">
        <v>44039</v>
      </c>
      <c r="B34" s="4">
        <v>7000</v>
      </c>
    </row>
    <row r="35" spans="1:5" x14ac:dyDescent="0.25">
      <c r="A35" s="2">
        <v>44038</v>
      </c>
      <c r="B35" s="4">
        <v>7000</v>
      </c>
    </row>
    <row r="36" spans="1:5" x14ac:dyDescent="0.25">
      <c r="A36" s="2">
        <v>44037</v>
      </c>
      <c r="B36" s="4">
        <v>7000</v>
      </c>
    </row>
    <row r="37" spans="1:5" x14ac:dyDescent="0.25">
      <c r="A37" s="2">
        <v>44036</v>
      </c>
      <c r="B37" s="4">
        <v>7000</v>
      </c>
    </row>
    <row r="38" spans="1:5" x14ac:dyDescent="0.25">
      <c r="A38" s="2">
        <v>44035</v>
      </c>
      <c r="B38" s="4">
        <v>7000</v>
      </c>
    </row>
    <row r="39" spans="1:5" x14ac:dyDescent="0.25">
      <c r="A39" s="2">
        <v>44034</v>
      </c>
      <c r="B39" s="4">
        <v>7000</v>
      </c>
    </row>
    <row r="40" spans="1:5" x14ac:dyDescent="0.25">
      <c r="A40" s="2">
        <v>44033</v>
      </c>
      <c r="B40" s="4">
        <v>7000</v>
      </c>
    </row>
    <row r="41" spans="1:5" x14ac:dyDescent="0.25">
      <c r="A41" s="2">
        <v>44032</v>
      </c>
      <c r="B41" s="4">
        <v>7000</v>
      </c>
    </row>
    <row r="42" spans="1:5" x14ac:dyDescent="0.25">
      <c r="A42" s="2">
        <v>44031</v>
      </c>
      <c r="B42" s="4">
        <v>7000</v>
      </c>
    </row>
    <row r="43" spans="1:5" x14ac:dyDescent="0.25">
      <c r="A43" s="2">
        <v>44030</v>
      </c>
      <c r="B43" s="4">
        <v>7000</v>
      </c>
    </row>
  </sheetData>
  <sheetProtection sheet="1" objects="1" scenarios="1" insertRows="0"/>
  <autoFilter ref="A7:A46">
    <sortState ref="A9:E44">
      <sortCondition descending="1" ref="A8:A44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733425</xdr:colOff>
                    <xdr:row>0</xdr:row>
                    <xdr:rowOff>57150</xdr:rowOff>
                  </from>
                  <to>
                    <xdr:col>6</xdr:col>
                    <xdr:colOff>85725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47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3.140625" customWidth="1"/>
    <col min="2" max="4" width="11.42578125" style="4"/>
  </cols>
  <sheetData>
    <row r="1" spans="1:5" x14ac:dyDescent="0.25">
      <c r="A1" s="12" t="s">
        <v>8</v>
      </c>
    </row>
    <row r="2" spans="1:5" x14ac:dyDescent="0.25">
      <c r="A2" t="s">
        <v>3</v>
      </c>
      <c r="B2" s="19">
        <f>SUM(C7:C500)</f>
        <v>70000</v>
      </c>
    </row>
    <row r="3" spans="1:5" x14ac:dyDescent="0.25">
      <c r="A3" t="s">
        <v>2</v>
      </c>
      <c r="B3" s="19">
        <f>SUM(B7:B500)</f>
        <v>203000</v>
      </c>
    </row>
    <row r="4" spans="1:5" x14ac:dyDescent="0.25">
      <c r="A4" t="s">
        <v>1</v>
      </c>
      <c r="B4" s="19">
        <f>SUM(D7:D500)</f>
        <v>21000</v>
      </c>
    </row>
    <row r="5" spans="1:5" ht="30" x14ac:dyDescent="0.25">
      <c r="A5" s="6" t="s">
        <v>4</v>
      </c>
      <c r="B5" s="18">
        <f>B2-B4</f>
        <v>49000</v>
      </c>
      <c r="C5" s="6" t="s">
        <v>15</v>
      </c>
      <c r="D5" s="5">
        <f>B5/7000</f>
        <v>7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7000</v>
      </c>
      <c r="C9" s="7">
        <v>0</v>
      </c>
      <c r="D9" s="7">
        <v>0</v>
      </c>
      <c r="E9" s="7">
        <v>0</v>
      </c>
    </row>
    <row r="10" spans="1:5" x14ac:dyDescent="0.25">
      <c r="A10" s="2">
        <v>44062</v>
      </c>
      <c r="B10" s="4">
        <v>7000</v>
      </c>
    </row>
    <row r="11" spans="1:5" x14ac:dyDescent="0.25">
      <c r="A11" s="2">
        <v>44061</v>
      </c>
      <c r="B11" s="4">
        <v>7000</v>
      </c>
    </row>
    <row r="12" spans="1:5" x14ac:dyDescent="0.25">
      <c r="A12" s="2">
        <v>44060</v>
      </c>
      <c r="C12" s="4">
        <v>7000</v>
      </c>
    </row>
    <row r="13" spans="1:5" x14ac:dyDescent="0.25">
      <c r="A13" s="2">
        <v>44059</v>
      </c>
      <c r="B13" s="4">
        <v>7000</v>
      </c>
    </row>
    <row r="14" spans="1:5" x14ac:dyDescent="0.25">
      <c r="A14" s="2">
        <v>44058</v>
      </c>
      <c r="B14" s="4">
        <v>7000</v>
      </c>
      <c r="D14" s="4">
        <v>7000</v>
      </c>
    </row>
    <row r="15" spans="1:5" x14ac:dyDescent="0.25">
      <c r="A15" s="2">
        <v>44057</v>
      </c>
      <c r="B15" s="4">
        <v>7000</v>
      </c>
    </row>
    <row r="16" spans="1:5" x14ac:dyDescent="0.25">
      <c r="A16" s="2">
        <v>44056</v>
      </c>
      <c r="C16" s="4">
        <v>7000</v>
      </c>
    </row>
    <row r="17" spans="1:4" x14ac:dyDescent="0.25">
      <c r="A17" s="2">
        <v>44055</v>
      </c>
      <c r="C17" s="4">
        <v>7000</v>
      </c>
    </row>
    <row r="18" spans="1:4" x14ac:dyDescent="0.25">
      <c r="A18" s="2">
        <v>44054</v>
      </c>
      <c r="C18" s="4">
        <v>7000</v>
      </c>
    </row>
    <row r="19" spans="1:4" x14ac:dyDescent="0.25">
      <c r="A19" s="2">
        <v>44053</v>
      </c>
      <c r="B19" s="4">
        <v>7000</v>
      </c>
      <c r="D19" s="4">
        <v>7000</v>
      </c>
    </row>
    <row r="20" spans="1:4" x14ac:dyDescent="0.25">
      <c r="A20" s="2">
        <v>44052</v>
      </c>
      <c r="C20" s="4">
        <v>7000</v>
      </c>
    </row>
    <row r="21" spans="1:4" x14ac:dyDescent="0.25">
      <c r="A21" s="2">
        <v>44051</v>
      </c>
      <c r="B21" s="4">
        <v>7000</v>
      </c>
    </row>
    <row r="22" spans="1:4" x14ac:dyDescent="0.25">
      <c r="A22" s="2">
        <v>44050</v>
      </c>
      <c r="B22" s="4">
        <v>7000</v>
      </c>
      <c r="D22" s="4">
        <v>7000</v>
      </c>
    </row>
    <row r="23" spans="1:4" x14ac:dyDescent="0.25">
      <c r="A23" s="2">
        <v>44049</v>
      </c>
      <c r="C23" s="4">
        <v>7000</v>
      </c>
    </row>
    <row r="24" spans="1:4" x14ac:dyDescent="0.25">
      <c r="A24" s="2">
        <v>44048</v>
      </c>
      <c r="B24" s="4">
        <v>7000</v>
      </c>
    </row>
    <row r="25" spans="1:4" x14ac:dyDescent="0.25">
      <c r="A25" s="2">
        <v>44047</v>
      </c>
      <c r="B25" s="4">
        <v>7000</v>
      </c>
    </row>
    <row r="26" spans="1:4" x14ac:dyDescent="0.25">
      <c r="A26" s="2">
        <v>44046</v>
      </c>
      <c r="C26" s="4">
        <v>7000</v>
      </c>
    </row>
    <row r="27" spans="1:4" x14ac:dyDescent="0.25">
      <c r="A27" s="2">
        <v>44045</v>
      </c>
      <c r="C27" s="4">
        <v>7000</v>
      </c>
    </row>
    <row r="28" spans="1:4" x14ac:dyDescent="0.25">
      <c r="A28" s="2">
        <v>44044</v>
      </c>
      <c r="C28" s="4">
        <v>7000</v>
      </c>
    </row>
    <row r="29" spans="1:4" x14ac:dyDescent="0.25">
      <c r="A29" s="2">
        <v>44043</v>
      </c>
      <c r="C29" s="4">
        <v>7000</v>
      </c>
    </row>
    <row r="30" spans="1:4" x14ac:dyDescent="0.25">
      <c r="A30" s="2">
        <v>44042</v>
      </c>
      <c r="B30" s="4">
        <v>7000</v>
      </c>
    </row>
    <row r="31" spans="1:4" x14ac:dyDescent="0.25">
      <c r="A31" s="2">
        <v>44041</v>
      </c>
      <c r="B31" s="4">
        <v>7000</v>
      </c>
    </row>
    <row r="32" spans="1:4" x14ac:dyDescent="0.25">
      <c r="A32" s="2">
        <v>44040</v>
      </c>
      <c r="B32" s="4">
        <v>7000</v>
      </c>
    </row>
    <row r="33" spans="1:5" x14ac:dyDescent="0.25">
      <c r="A33" s="2">
        <v>44039</v>
      </c>
      <c r="B33" s="4">
        <v>7000</v>
      </c>
      <c r="E33" t="s">
        <v>11</v>
      </c>
    </row>
    <row r="34" spans="1:5" x14ac:dyDescent="0.25">
      <c r="A34" s="2">
        <v>44038</v>
      </c>
      <c r="B34" s="4">
        <v>7000</v>
      </c>
      <c r="E34" t="s">
        <v>10</v>
      </c>
    </row>
    <row r="35" spans="1:5" x14ac:dyDescent="0.25">
      <c r="A35" s="2">
        <v>44037</v>
      </c>
      <c r="B35" s="4">
        <v>7000</v>
      </c>
    </row>
    <row r="36" spans="1:5" x14ac:dyDescent="0.25">
      <c r="A36" s="2">
        <v>44036</v>
      </c>
      <c r="B36" s="4">
        <v>7000</v>
      </c>
    </row>
    <row r="37" spans="1:5" x14ac:dyDescent="0.25">
      <c r="A37" s="2">
        <v>44035</v>
      </c>
      <c r="B37" s="4">
        <v>7000</v>
      </c>
    </row>
    <row r="38" spans="1:5" x14ac:dyDescent="0.25">
      <c r="A38" s="2">
        <v>44034</v>
      </c>
      <c r="B38" s="4">
        <v>7000</v>
      </c>
    </row>
    <row r="39" spans="1:5" x14ac:dyDescent="0.25">
      <c r="A39" s="2">
        <v>44033</v>
      </c>
      <c r="B39" s="4">
        <v>7000</v>
      </c>
    </row>
    <row r="40" spans="1:5" x14ac:dyDescent="0.25">
      <c r="A40" s="2">
        <v>44032</v>
      </c>
      <c r="B40" s="4">
        <v>7000</v>
      </c>
    </row>
    <row r="41" spans="1:5" x14ac:dyDescent="0.25">
      <c r="A41" s="2">
        <v>44031</v>
      </c>
      <c r="B41" s="4">
        <v>7000</v>
      </c>
    </row>
    <row r="42" spans="1:5" x14ac:dyDescent="0.25">
      <c r="A42" s="2">
        <v>44030</v>
      </c>
      <c r="B42" s="4">
        <v>7000</v>
      </c>
    </row>
    <row r="43" spans="1:5" x14ac:dyDescent="0.25">
      <c r="A43" s="2">
        <v>44029</v>
      </c>
      <c r="B43" s="4">
        <v>7000</v>
      </c>
    </row>
    <row r="44" spans="1:5" x14ac:dyDescent="0.25">
      <c r="A44" s="2">
        <v>44028</v>
      </c>
      <c r="B44" s="4">
        <v>7000</v>
      </c>
      <c r="E44" t="s">
        <v>9</v>
      </c>
    </row>
    <row r="45" spans="1:5" x14ac:dyDescent="0.25">
      <c r="A45" s="2">
        <v>44027</v>
      </c>
      <c r="B45" s="4">
        <v>7000</v>
      </c>
    </row>
    <row r="46" spans="1:5" x14ac:dyDescent="0.25">
      <c r="A46" s="2">
        <v>44026</v>
      </c>
      <c r="B46" s="4">
        <v>7000</v>
      </c>
    </row>
    <row r="47" spans="1:5" x14ac:dyDescent="0.25">
      <c r="A47" s="2">
        <v>44025</v>
      </c>
      <c r="B47" s="4">
        <v>7000</v>
      </c>
    </row>
  </sheetData>
  <sheetProtection sheet="1" objects="1" scenarios="1" insertRows="0"/>
  <autoFilter ref="A7:A47">
    <sortState ref="A9:E46">
      <sortCondition descending="1" ref="A8:A46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742950</xdr:colOff>
                    <xdr:row>0</xdr:row>
                    <xdr:rowOff>38100</xdr:rowOff>
                  </from>
                  <to>
                    <xdr:col>6</xdr:col>
                    <xdr:colOff>95250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E5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sheetData>
    <row r="1" spans="1:5" x14ac:dyDescent="0.25">
      <c r="A1" s="7" t="s">
        <v>13</v>
      </c>
    </row>
    <row r="2" spans="1:5" x14ac:dyDescent="0.25">
      <c r="A2" t="s">
        <v>3</v>
      </c>
      <c r="B2" s="9">
        <f>SUM(C7:C500)</f>
        <v>179000</v>
      </c>
    </row>
    <row r="3" spans="1:5" x14ac:dyDescent="0.25">
      <c r="A3" t="s">
        <v>2</v>
      </c>
      <c r="B3" s="9">
        <f>SUM(B7:B500)</f>
        <v>108000</v>
      </c>
    </row>
    <row r="4" spans="1:5" x14ac:dyDescent="0.25">
      <c r="A4" t="s">
        <v>1</v>
      </c>
      <c r="B4" s="9">
        <f>SUM(D7:D500)</f>
        <v>32000</v>
      </c>
    </row>
    <row r="5" spans="1:5" ht="30" x14ac:dyDescent="0.25">
      <c r="A5" s="7" t="s">
        <v>4</v>
      </c>
      <c r="B5" s="21">
        <f>B2-B4</f>
        <v>147000</v>
      </c>
      <c r="C5" s="6" t="s">
        <v>15</v>
      </c>
      <c r="D5" s="4">
        <f>B5/7000</f>
        <v>21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68</v>
      </c>
      <c r="B9" s="7">
        <v>0</v>
      </c>
      <c r="C9" s="7">
        <v>7000</v>
      </c>
      <c r="D9" s="7">
        <v>0</v>
      </c>
      <c r="E9" s="7" t="s">
        <v>69</v>
      </c>
    </row>
    <row r="10" spans="1:5" x14ac:dyDescent="0.25">
      <c r="A10" s="2">
        <v>44062</v>
      </c>
      <c r="C10">
        <v>7000</v>
      </c>
    </row>
    <row r="11" spans="1:5" x14ac:dyDescent="0.25">
      <c r="A11" s="2">
        <v>44061</v>
      </c>
      <c r="B11">
        <v>7000</v>
      </c>
    </row>
    <row r="12" spans="1:5" x14ac:dyDescent="0.25">
      <c r="A12" s="2">
        <v>44060</v>
      </c>
      <c r="C12">
        <v>7000</v>
      </c>
    </row>
    <row r="13" spans="1:5" x14ac:dyDescent="0.25">
      <c r="A13" s="2">
        <v>44059</v>
      </c>
      <c r="C13">
        <v>7000</v>
      </c>
    </row>
    <row r="14" spans="1:5" x14ac:dyDescent="0.25">
      <c r="A14" s="2">
        <v>44058</v>
      </c>
      <c r="B14">
        <v>7000</v>
      </c>
    </row>
    <row r="15" spans="1:5" x14ac:dyDescent="0.25">
      <c r="A15" s="2">
        <v>44057</v>
      </c>
      <c r="B15">
        <v>7000</v>
      </c>
    </row>
    <row r="16" spans="1:5" x14ac:dyDescent="0.25">
      <c r="A16" s="2">
        <v>44056</v>
      </c>
      <c r="C16">
        <v>7000</v>
      </c>
    </row>
    <row r="17" spans="1:4" x14ac:dyDescent="0.25">
      <c r="A17" s="2">
        <v>44055</v>
      </c>
      <c r="C17">
        <v>7000</v>
      </c>
    </row>
    <row r="18" spans="1:4" x14ac:dyDescent="0.25">
      <c r="A18" s="2">
        <v>44054</v>
      </c>
      <c r="C18">
        <v>7000</v>
      </c>
    </row>
    <row r="19" spans="1:4" x14ac:dyDescent="0.25">
      <c r="A19" s="2">
        <v>44053</v>
      </c>
      <c r="C19">
        <v>7000</v>
      </c>
    </row>
    <row r="20" spans="1:4" x14ac:dyDescent="0.25">
      <c r="A20" s="2">
        <v>44052</v>
      </c>
      <c r="C20">
        <v>7000</v>
      </c>
    </row>
    <row r="21" spans="1:4" x14ac:dyDescent="0.25">
      <c r="A21" s="2">
        <v>44051</v>
      </c>
      <c r="C21">
        <v>7000</v>
      </c>
    </row>
    <row r="22" spans="1:4" x14ac:dyDescent="0.25">
      <c r="A22" s="2">
        <v>44050</v>
      </c>
      <c r="C22">
        <v>7000</v>
      </c>
    </row>
    <row r="23" spans="1:4" x14ac:dyDescent="0.25">
      <c r="A23" s="2">
        <v>44049</v>
      </c>
      <c r="C23">
        <v>7000</v>
      </c>
    </row>
    <row r="24" spans="1:4" x14ac:dyDescent="0.25">
      <c r="A24" s="2">
        <v>44048</v>
      </c>
      <c r="C24">
        <v>7000</v>
      </c>
    </row>
    <row r="25" spans="1:4" x14ac:dyDescent="0.25">
      <c r="A25" s="2">
        <v>44047</v>
      </c>
      <c r="C25">
        <v>7000</v>
      </c>
    </row>
    <row r="26" spans="1:4" x14ac:dyDescent="0.25">
      <c r="A26" s="2">
        <v>44046</v>
      </c>
      <c r="C26">
        <v>7000</v>
      </c>
    </row>
    <row r="27" spans="1:4" x14ac:dyDescent="0.25">
      <c r="A27" s="2">
        <v>44045</v>
      </c>
      <c r="C27">
        <v>7000</v>
      </c>
    </row>
    <row r="28" spans="1:4" x14ac:dyDescent="0.25">
      <c r="A28" s="2">
        <v>44044</v>
      </c>
      <c r="C28">
        <v>7000</v>
      </c>
    </row>
    <row r="29" spans="1:4" x14ac:dyDescent="0.25">
      <c r="A29" s="2">
        <v>44043</v>
      </c>
      <c r="B29">
        <v>7000</v>
      </c>
    </row>
    <row r="30" spans="1:4" x14ac:dyDescent="0.25">
      <c r="A30" s="2">
        <v>44042</v>
      </c>
      <c r="C30">
        <v>7000</v>
      </c>
    </row>
    <row r="31" spans="1:4" x14ac:dyDescent="0.25">
      <c r="A31" s="2">
        <v>44041</v>
      </c>
      <c r="C31">
        <v>7000</v>
      </c>
    </row>
    <row r="32" spans="1:4" x14ac:dyDescent="0.25">
      <c r="A32" s="2">
        <v>44040</v>
      </c>
      <c r="B32">
        <v>7000</v>
      </c>
      <c r="D32">
        <v>25000</v>
      </c>
    </row>
    <row r="33" spans="1:4" x14ac:dyDescent="0.25">
      <c r="A33" s="2">
        <v>44039</v>
      </c>
      <c r="C33">
        <v>7000</v>
      </c>
    </row>
    <row r="34" spans="1:4" x14ac:dyDescent="0.25">
      <c r="A34" s="2">
        <v>44038</v>
      </c>
      <c r="C34">
        <v>7000</v>
      </c>
    </row>
    <row r="35" spans="1:4" x14ac:dyDescent="0.25">
      <c r="A35" s="2">
        <v>44037</v>
      </c>
      <c r="C35">
        <v>7000</v>
      </c>
    </row>
    <row r="36" spans="1:4" x14ac:dyDescent="0.25">
      <c r="A36" s="2">
        <v>44036</v>
      </c>
      <c r="B36">
        <v>7000</v>
      </c>
      <c r="D36">
        <v>3000</v>
      </c>
    </row>
    <row r="37" spans="1:4" x14ac:dyDescent="0.25">
      <c r="A37" s="2">
        <v>44035</v>
      </c>
      <c r="C37">
        <v>7000</v>
      </c>
    </row>
    <row r="38" spans="1:4" x14ac:dyDescent="0.25">
      <c r="A38" s="2">
        <v>44034</v>
      </c>
      <c r="B38">
        <v>7000</v>
      </c>
    </row>
    <row r="39" spans="1:4" x14ac:dyDescent="0.25">
      <c r="A39" s="2">
        <v>44033</v>
      </c>
      <c r="B39">
        <v>7000</v>
      </c>
    </row>
    <row r="40" spans="1:4" x14ac:dyDescent="0.25">
      <c r="A40" s="2">
        <v>44032</v>
      </c>
      <c r="B40">
        <v>7000</v>
      </c>
      <c r="D40">
        <v>2000</v>
      </c>
    </row>
    <row r="41" spans="1:4" x14ac:dyDescent="0.25">
      <c r="A41" s="2">
        <v>44031</v>
      </c>
      <c r="C41">
        <v>7000</v>
      </c>
    </row>
    <row r="42" spans="1:4" x14ac:dyDescent="0.25">
      <c r="A42" s="2">
        <v>44030</v>
      </c>
      <c r="C42">
        <v>7000</v>
      </c>
    </row>
    <row r="43" spans="1:4" x14ac:dyDescent="0.25">
      <c r="A43" s="2">
        <v>44029</v>
      </c>
      <c r="B43">
        <v>7000</v>
      </c>
    </row>
    <row r="44" spans="1:4" x14ac:dyDescent="0.25">
      <c r="A44" s="2">
        <v>44028</v>
      </c>
      <c r="B44">
        <v>7000</v>
      </c>
    </row>
    <row r="45" spans="1:4" x14ac:dyDescent="0.25">
      <c r="A45" s="2">
        <v>44027</v>
      </c>
      <c r="B45">
        <v>5000</v>
      </c>
      <c r="C45">
        <v>2000</v>
      </c>
    </row>
    <row r="46" spans="1:4" x14ac:dyDescent="0.25">
      <c r="A46" s="2">
        <v>44026</v>
      </c>
      <c r="B46">
        <v>7000</v>
      </c>
    </row>
    <row r="47" spans="1:4" x14ac:dyDescent="0.25">
      <c r="A47" s="2">
        <v>44025</v>
      </c>
      <c r="B47">
        <v>7000</v>
      </c>
      <c r="D47">
        <v>2000</v>
      </c>
    </row>
    <row r="48" spans="1:4" x14ac:dyDescent="0.25">
      <c r="A48" s="2">
        <v>44024</v>
      </c>
      <c r="B48">
        <v>5000</v>
      </c>
      <c r="C48">
        <v>2000</v>
      </c>
    </row>
    <row r="49" spans="1:2" x14ac:dyDescent="0.25">
      <c r="A49" s="2">
        <v>44023</v>
      </c>
      <c r="B49">
        <v>7000</v>
      </c>
    </row>
    <row r="50" spans="1:2" x14ac:dyDescent="0.25">
      <c r="B50" s="2"/>
    </row>
  </sheetData>
  <sheetProtection sheet="1" objects="1" scenarios="1" insertRows="0"/>
  <autoFilter ref="A7:A50">
    <sortState ref="A9:E49">
      <sortCondition descending="1" ref="A8:A4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714375</xdr:colOff>
                    <xdr:row>0</xdr:row>
                    <xdr:rowOff>47625</xdr:rowOff>
                  </from>
                  <to>
                    <xdr:col>6</xdr:col>
                    <xdr:colOff>66675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E53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12" t="s">
        <v>12</v>
      </c>
    </row>
    <row r="2" spans="1:5" x14ac:dyDescent="0.25">
      <c r="A2" t="s">
        <v>3</v>
      </c>
      <c r="B2" s="21">
        <f>SUM(C7:C502)</f>
        <v>131000</v>
      </c>
    </row>
    <row r="3" spans="1:5" x14ac:dyDescent="0.25">
      <c r="A3" t="s">
        <v>2</v>
      </c>
      <c r="B3" s="21">
        <f>SUM(B7:B502)</f>
        <v>170000</v>
      </c>
    </row>
    <row r="4" spans="1:5" x14ac:dyDescent="0.25">
      <c r="A4" t="s">
        <v>1</v>
      </c>
      <c r="B4" s="21">
        <f>SUM(D7:D502)</f>
        <v>32000</v>
      </c>
    </row>
    <row r="5" spans="1:5" ht="30" x14ac:dyDescent="0.25">
      <c r="A5" s="6" t="s">
        <v>4</v>
      </c>
      <c r="B5" s="8">
        <f>B2-B4</f>
        <v>99000</v>
      </c>
      <c r="C5" s="6" t="s">
        <v>15</v>
      </c>
      <c r="D5" s="5">
        <f>B5/7000</f>
        <v>14.142857142857142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5000</v>
      </c>
      <c r="C9" s="7">
        <v>2000</v>
      </c>
      <c r="D9" s="7">
        <v>0</v>
      </c>
      <c r="E9" s="7">
        <v>0</v>
      </c>
    </row>
    <row r="10" spans="1:5" x14ac:dyDescent="0.25">
      <c r="A10" s="7" t="s">
        <v>58</v>
      </c>
      <c r="B10" s="7">
        <v>0</v>
      </c>
      <c r="C10" s="7">
        <v>0</v>
      </c>
      <c r="D10" s="7">
        <v>8000</v>
      </c>
      <c r="E10" s="7">
        <v>0</v>
      </c>
    </row>
    <row r="11" spans="1:5" x14ac:dyDescent="0.25">
      <c r="A11" s="2">
        <v>44062</v>
      </c>
      <c r="B11" s="4">
        <v>5000</v>
      </c>
      <c r="C11" s="4">
        <v>2000</v>
      </c>
    </row>
    <row r="12" spans="1:5" x14ac:dyDescent="0.25">
      <c r="A12" s="2">
        <v>44061</v>
      </c>
      <c r="C12" s="4">
        <v>7000</v>
      </c>
    </row>
    <row r="13" spans="1:5" x14ac:dyDescent="0.25">
      <c r="A13" s="2">
        <v>44060</v>
      </c>
      <c r="C13" s="4">
        <v>7000</v>
      </c>
    </row>
    <row r="14" spans="1:5" x14ac:dyDescent="0.25">
      <c r="A14" s="2">
        <v>44059</v>
      </c>
      <c r="C14" s="4">
        <v>7000</v>
      </c>
    </row>
    <row r="15" spans="1:5" x14ac:dyDescent="0.25">
      <c r="A15" s="2">
        <v>44058</v>
      </c>
      <c r="B15" s="4">
        <v>7000</v>
      </c>
      <c r="D15" s="4">
        <v>3000</v>
      </c>
    </row>
    <row r="16" spans="1:5" x14ac:dyDescent="0.25">
      <c r="A16" s="2">
        <v>44057</v>
      </c>
      <c r="B16" s="4">
        <v>7000</v>
      </c>
      <c r="D16" s="4">
        <v>3000</v>
      </c>
    </row>
    <row r="17" spans="1:4" x14ac:dyDescent="0.25">
      <c r="A17" s="2">
        <v>44056</v>
      </c>
      <c r="B17" s="4">
        <v>7000</v>
      </c>
      <c r="D17" s="4">
        <v>3000</v>
      </c>
    </row>
    <row r="18" spans="1:4" x14ac:dyDescent="0.25">
      <c r="A18" s="2">
        <v>44055</v>
      </c>
      <c r="B18" s="4">
        <v>5000</v>
      </c>
      <c r="C18" s="4">
        <v>2000</v>
      </c>
    </row>
    <row r="19" spans="1:4" x14ac:dyDescent="0.25">
      <c r="A19" s="2">
        <v>44054</v>
      </c>
      <c r="C19" s="4">
        <v>7000</v>
      </c>
    </row>
    <row r="20" spans="1:4" x14ac:dyDescent="0.25">
      <c r="A20" s="2">
        <v>44053</v>
      </c>
      <c r="B20" s="4">
        <v>7000</v>
      </c>
    </row>
    <row r="21" spans="1:4" x14ac:dyDescent="0.25">
      <c r="A21" s="2">
        <v>44052</v>
      </c>
      <c r="C21" s="4">
        <v>7000</v>
      </c>
    </row>
    <row r="22" spans="1:4" x14ac:dyDescent="0.25">
      <c r="A22" s="2">
        <v>44051</v>
      </c>
      <c r="C22" s="4">
        <v>7000</v>
      </c>
    </row>
    <row r="23" spans="1:4" x14ac:dyDescent="0.25">
      <c r="A23" s="2">
        <v>44050</v>
      </c>
      <c r="C23" s="4">
        <v>7000</v>
      </c>
    </row>
    <row r="24" spans="1:4" x14ac:dyDescent="0.25">
      <c r="A24" s="2">
        <v>44049</v>
      </c>
      <c r="B24" s="4">
        <v>7000</v>
      </c>
    </row>
    <row r="25" spans="1:4" x14ac:dyDescent="0.25">
      <c r="A25" s="2">
        <v>44048</v>
      </c>
      <c r="B25" s="4">
        <v>7000</v>
      </c>
    </row>
    <row r="26" spans="1:4" x14ac:dyDescent="0.25">
      <c r="A26" s="2">
        <v>44047</v>
      </c>
      <c r="C26" s="4">
        <v>7000</v>
      </c>
    </row>
    <row r="27" spans="1:4" x14ac:dyDescent="0.25">
      <c r="A27" s="2">
        <v>44046</v>
      </c>
      <c r="B27" s="4">
        <v>7000</v>
      </c>
    </row>
    <row r="28" spans="1:4" x14ac:dyDescent="0.25">
      <c r="A28" s="2">
        <v>44045</v>
      </c>
      <c r="C28" s="4">
        <v>7000</v>
      </c>
    </row>
    <row r="29" spans="1:4" x14ac:dyDescent="0.25">
      <c r="A29" s="2">
        <v>44044</v>
      </c>
      <c r="B29" s="4">
        <v>5000</v>
      </c>
      <c r="C29" s="4">
        <v>2000</v>
      </c>
    </row>
    <row r="30" spans="1:4" x14ac:dyDescent="0.25">
      <c r="A30" s="2">
        <v>44043</v>
      </c>
      <c r="C30" s="4">
        <v>7000</v>
      </c>
    </row>
    <row r="31" spans="1:4" x14ac:dyDescent="0.25">
      <c r="A31" s="2">
        <v>44042</v>
      </c>
      <c r="B31" s="4">
        <v>7000</v>
      </c>
      <c r="D31" s="4">
        <v>1000</v>
      </c>
    </row>
    <row r="32" spans="1:4" x14ac:dyDescent="0.25">
      <c r="A32" s="2">
        <v>44041</v>
      </c>
      <c r="B32" s="4">
        <v>7000</v>
      </c>
      <c r="D32" s="4">
        <v>1000</v>
      </c>
    </row>
    <row r="33" spans="1:4" x14ac:dyDescent="0.25">
      <c r="A33" s="2">
        <v>44040</v>
      </c>
      <c r="B33" s="4">
        <v>7000</v>
      </c>
      <c r="D33" s="4">
        <v>1000</v>
      </c>
    </row>
    <row r="34" spans="1:4" x14ac:dyDescent="0.25">
      <c r="A34" s="2">
        <v>44039</v>
      </c>
      <c r="B34" s="4">
        <v>7000</v>
      </c>
      <c r="D34" s="4">
        <v>1000</v>
      </c>
    </row>
    <row r="35" spans="1:4" x14ac:dyDescent="0.25">
      <c r="A35" s="2">
        <v>44038</v>
      </c>
      <c r="C35" s="4">
        <v>7000</v>
      </c>
    </row>
    <row r="36" spans="1:4" x14ac:dyDescent="0.25">
      <c r="A36" s="2">
        <v>44037</v>
      </c>
      <c r="B36" s="4">
        <v>7000</v>
      </c>
    </row>
    <row r="37" spans="1:4" x14ac:dyDescent="0.25">
      <c r="A37" s="2">
        <v>44036</v>
      </c>
      <c r="B37" s="4">
        <v>7000</v>
      </c>
    </row>
    <row r="38" spans="1:4" x14ac:dyDescent="0.25">
      <c r="A38" s="2">
        <v>44035</v>
      </c>
      <c r="C38" s="4">
        <v>7000</v>
      </c>
    </row>
    <row r="39" spans="1:4" x14ac:dyDescent="0.25">
      <c r="A39" s="2">
        <v>44034</v>
      </c>
      <c r="B39" s="4">
        <v>7000</v>
      </c>
      <c r="D39" s="4">
        <v>1000</v>
      </c>
    </row>
    <row r="40" spans="1:4" x14ac:dyDescent="0.25">
      <c r="A40" s="2">
        <v>44033</v>
      </c>
      <c r="B40" s="4">
        <v>7000</v>
      </c>
      <c r="D40" s="4">
        <v>3000</v>
      </c>
    </row>
    <row r="41" spans="1:4" x14ac:dyDescent="0.25">
      <c r="A41" s="2">
        <v>44032</v>
      </c>
      <c r="C41" s="4">
        <v>7000</v>
      </c>
    </row>
    <row r="42" spans="1:4" x14ac:dyDescent="0.25">
      <c r="A42" s="2">
        <v>44031</v>
      </c>
      <c r="C42" s="4">
        <v>7000</v>
      </c>
    </row>
    <row r="43" spans="1:4" x14ac:dyDescent="0.25">
      <c r="A43" s="2">
        <v>44030</v>
      </c>
      <c r="B43" s="4">
        <v>7000</v>
      </c>
      <c r="D43" s="4">
        <v>3000</v>
      </c>
    </row>
    <row r="44" spans="1:4" x14ac:dyDescent="0.25">
      <c r="A44" s="2">
        <v>44029</v>
      </c>
      <c r="C44" s="4">
        <v>7000</v>
      </c>
    </row>
    <row r="45" spans="1:4" x14ac:dyDescent="0.25">
      <c r="A45" s="2">
        <v>44028</v>
      </c>
      <c r="B45" s="4">
        <v>6000</v>
      </c>
      <c r="C45" s="4">
        <v>1000</v>
      </c>
    </row>
    <row r="46" spans="1:4" x14ac:dyDescent="0.25">
      <c r="A46" s="2">
        <v>44027</v>
      </c>
      <c r="C46" s="4">
        <v>7000</v>
      </c>
    </row>
    <row r="47" spans="1:4" x14ac:dyDescent="0.25">
      <c r="A47" s="2">
        <v>44026</v>
      </c>
      <c r="B47" s="4">
        <v>7000</v>
      </c>
      <c r="D47" s="4">
        <v>1000</v>
      </c>
    </row>
    <row r="48" spans="1:4" x14ac:dyDescent="0.25">
      <c r="A48" s="2">
        <v>44025</v>
      </c>
      <c r="C48" s="4">
        <v>7000</v>
      </c>
    </row>
    <row r="49" spans="1:4" x14ac:dyDescent="0.25">
      <c r="A49" s="2">
        <v>44024</v>
      </c>
      <c r="B49" s="4">
        <v>7000</v>
      </c>
    </row>
    <row r="50" spans="1:4" x14ac:dyDescent="0.25">
      <c r="A50" s="2">
        <v>44023</v>
      </c>
      <c r="B50" s="4">
        <v>7000</v>
      </c>
      <c r="D50" s="4">
        <v>3000</v>
      </c>
    </row>
    <row r="51" spans="1:4" x14ac:dyDescent="0.25">
      <c r="A51" s="2">
        <v>44022</v>
      </c>
      <c r="B51" s="4">
        <v>4000</v>
      </c>
      <c r="C51" s="4">
        <v>3000</v>
      </c>
    </row>
    <row r="52" spans="1:4" x14ac:dyDescent="0.25">
      <c r="A52" s="2">
        <v>44021</v>
      </c>
      <c r="B52" s="4">
        <v>7000</v>
      </c>
    </row>
    <row r="53" spans="1:4" x14ac:dyDescent="0.25">
      <c r="B53" s="20"/>
    </row>
  </sheetData>
  <sheetProtection sheet="1" objects="1" scenarios="1" insertRows="0"/>
  <autoFilter ref="A7:A53">
    <sortState ref="A9:D51">
      <sortCondition descending="1" ref="A8:A5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733425</xdr:colOff>
                    <xdr:row>0</xdr:row>
                    <xdr:rowOff>66675</xdr:rowOff>
                  </from>
                  <to>
                    <xdr:col>6</xdr:col>
                    <xdr:colOff>85725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E52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12.28515625" customWidth="1"/>
    <col min="2" max="2" width="11.42578125" style="4"/>
  </cols>
  <sheetData>
    <row r="1" spans="1:5" x14ac:dyDescent="0.25">
      <c r="A1" s="7" t="s">
        <v>14</v>
      </c>
    </row>
    <row r="2" spans="1:5" x14ac:dyDescent="0.25">
      <c r="A2" t="s">
        <v>3</v>
      </c>
      <c r="B2" s="21">
        <f>SUM(C7:C499)</f>
        <v>182000</v>
      </c>
    </row>
    <row r="3" spans="1:5" x14ac:dyDescent="0.25">
      <c r="A3" t="s">
        <v>2</v>
      </c>
      <c r="B3" s="21">
        <f>SUM(B7:B499)</f>
        <v>77000</v>
      </c>
    </row>
    <row r="4" spans="1:5" x14ac:dyDescent="0.25">
      <c r="A4" t="s">
        <v>1</v>
      </c>
      <c r="B4" s="21">
        <f>SUM(D7:D499)</f>
        <v>70000</v>
      </c>
    </row>
    <row r="5" spans="1:5" ht="30" x14ac:dyDescent="0.25">
      <c r="A5" s="7" t="s">
        <v>4</v>
      </c>
      <c r="B5" s="8">
        <f>B2-B4</f>
        <v>112000</v>
      </c>
      <c r="C5" s="6" t="s">
        <v>15</v>
      </c>
      <c r="D5" s="14">
        <f>B5/7000</f>
        <v>16</v>
      </c>
    </row>
    <row r="6" spans="1:5" x14ac:dyDescent="0.25">
      <c r="A6" s="3" t="s">
        <v>17</v>
      </c>
    </row>
    <row r="7" spans="1:5" x14ac:dyDescent="0.25">
      <c r="A7" s="7" t="s">
        <v>50</v>
      </c>
      <c r="B7" s="3" t="s">
        <v>45</v>
      </c>
      <c r="C7" s="3" t="s">
        <v>51</v>
      </c>
      <c r="D7" s="3" t="s">
        <v>47</v>
      </c>
      <c r="E7" s="3" t="s">
        <v>49</v>
      </c>
    </row>
    <row r="8" spans="1:5" x14ac:dyDescent="0.25">
      <c r="A8" s="7"/>
      <c r="B8" s="3"/>
      <c r="C8" s="3"/>
      <c r="D8" s="3"/>
      <c r="E8" s="3"/>
    </row>
    <row r="9" spans="1:5" x14ac:dyDescent="0.25">
      <c r="A9" s="7" t="s">
        <v>58</v>
      </c>
      <c r="B9" s="3">
        <v>0</v>
      </c>
      <c r="C9" s="3">
        <v>77000</v>
      </c>
      <c r="D9" s="3">
        <v>0</v>
      </c>
      <c r="E9" s="3" t="s">
        <v>57</v>
      </c>
    </row>
    <row r="10" spans="1:5" x14ac:dyDescent="0.25">
      <c r="A10" s="20">
        <v>44061</v>
      </c>
      <c r="B10"/>
    </row>
    <row r="11" spans="1:5" x14ac:dyDescent="0.25">
      <c r="A11" s="20">
        <v>44060</v>
      </c>
      <c r="B11"/>
    </row>
    <row r="12" spans="1:5" x14ac:dyDescent="0.25">
      <c r="A12" s="20">
        <v>44059</v>
      </c>
      <c r="B12"/>
    </row>
    <row r="13" spans="1:5" x14ac:dyDescent="0.25">
      <c r="A13" s="20">
        <v>44058</v>
      </c>
      <c r="B13"/>
    </row>
    <row r="14" spans="1:5" x14ac:dyDescent="0.25">
      <c r="A14" s="20">
        <v>44057</v>
      </c>
      <c r="B14"/>
    </row>
    <row r="15" spans="1:5" x14ac:dyDescent="0.25">
      <c r="A15" s="20">
        <v>44056</v>
      </c>
      <c r="B15"/>
    </row>
    <row r="16" spans="1:5" x14ac:dyDescent="0.25">
      <c r="A16" s="20">
        <v>44055</v>
      </c>
      <c r="B16"/>
    </row>
    <row r="17" spans="1:2" x14ac:dyDescent="0.25">
      <c r="A17" s="20">
        <v>44054</v>
      </c>
      <c r="B17"/>
    </row>
    <row r="18" spans="1:2" x14ac:dyDescent="0.25">
      <c r="A18" s="20">
        <v>44053</v>
      </c>
      <c r="B18"/>
    </row>
    <row r="19" spans="1:2" x14ac:dyDescent="0.25">
      <c r="A19" s="20">
        <v>44052</v>
      </c>
      <c r="B19"/>
    </row>
    <row r="20" spans="1:2" x14ac:dyDescent="0.25">
      <c r="A20" s="20">
        <v>44051</v>
      </c>
      <c r="B20"/>
    </row>
    <row r="21" spans="1:2" x14ac:dyDescent="0.25">
      <c r="A21" s="20">
        <v>44050</v>
      </c>
      <c r="B21"/>
    </row>
    <row r="22" spans="1:2" x14ac:dyDescent="0.25">
      <c r="A22" s="20">
        <v>44049</v>
      </c>
      <c r="B22"/>
    </row>
    <row r="23" spans="1:2" x14ac:dyDescent="0.25">
      <c r="A23" s="20">
        <v>44048</v>
      </c>
      <c r="B23"/>
    </row>
    <row r="24" spans="1:2" x14ac:dyDescent="0.25">
      <c r="A24" s="20">
        <v>44047</v>
      </c>
      <c r="B24"/>
    </row>
    <row r="25" spans="1:2" x14ac:dyDescent="0.25">
      <c r="A25" s="20">
        <v>44046</v>
      </c>
      <c r="B25"/>
    </row>
    <row r="26" spans="1:2" x14ac:dyDescent="0.25">
      <c r="A26" s="20">
        <v>44045</v>
      </c>
      <c r="B26"/>
    </row>
    <row r="27" spans="1:2" x14ac:dyDescent="0.25">
      <c r="A27" s="20">
        <v>44044</v>
      </c>
      <c r="B27"/>
    </row>
    <row r="28" spans="1:2" x14ac:dyDescent="0.25">
      <c r="A28" s="20">
        <v>44043</v>
      </c>
      <c r="B28"/>
    </row>
    <row r="29" spans="1:2" x14ac:dyDescent="0.25">
      <c r="A29" s="20">
        <v>44042</v>
      </c>
      <c r="B29"/>
    </row>
    <row r="30" spans="1:2" x14ac:dyDescent="0.25">
      <c r="A30" s="20">
        <v>44041</v>
      </c>
      <c r="B30"/>
    </row>
    <row r="31" spans="1:2" x14ac:dyDescent="0.25">
      <c r="A31" s="20">
        <v>44040</v>
      </c>
      <c r="B31"/>
    </row>
    <row r="32" spans="1:2" x14ac:dyDescent="0.25">
      <c r="A32" s="20">
        <v>44039</v>
      </c>
      <c r="B32"/>
    </row>
    <row r="33" spans="1:4" x14ac:dyDescent="0.25">
      <c r="A33" s="20">
        <v>44038</v>
      </c>
      <c r="B33"/>
    </row>
    <row r="34" spans="1:4" x14ac:dyDescent="0.25">
      <c r="A34" s="20">
        <v>44037</v>
      </c>
      <c r="B34"/>
    </row>
    <row r="35" spans="1:4" x14ac:dyDescent="0.25">
      <c r="A35" s="20">
        <v>44036</v>
      </c>
      <c r="B35"/>
    </row>
    <row r="36" spans="1:4" x14ac:dyDescent="0.25">
      <c r="A36" s="20">
        <v>44035</v>
      </c>
      <c r="B36"/>
    </row>
    <row r="37" spans="1:4" x14ac:dyDescent="0.25">
      <c r="A37" s="20">
        <v>44034</v>
      </c>
      <c r="B37"/>
    </row>
    <row r="38" spans="1:4" x14ac:dyDescent="0.25">
      <c r="A38" s="20">
        <v>44033</v>
      </c>
      <c r="B38"/>
    </row>
    <row r="39" spans="1:4" x14ac:dyDescent="0.25">
      <c r="A39" s="20">
        <v>44032</v>
      </c>
      <c r="B39"/>
    </row>
    <row r="40" spans="1:4" x14ac:dyDescent="0.25">
      <c r="A40" s="20">
        <v>44031</v>
      </c>
      <c r="B40">
        <v>7000</v>
      </c>
    </row>
    <row r="41" spans="1:4" x14ac:dyDescent="0.25">
      <c r="A41" s="20">
        <v>44030</v>
      </c>
      <c r="B41">
        <v>7000</v>
      </c>
    </row>
    <row r="42" spans="1:4" x14ac:dyDescent="0.25">
      <c r="A42" s="20">
        <v>44029</v>
      </c>
      <c r="B42">
        <v>7000</v>
      </c>
    </row>
    <row r="43" spans="1:4" x14ac:dyDescent="0.25">
      <c r="A43" s="20">
        <v>44028</v>
      </c>
      <c r="B43">
        <v>7000</v>
      </c>
    </row>
    <row r="44" spans="1:4" x14ac:dyDescent="0.25">
      <c r="A44" s="20">
        <v>44027</v>
      </c>
      <c r="B44">
        <v>7000</v>
      </c>
      <c r="D44">
        <v>20000</v>
      </c>
    </row>
    <row r="45" spans="1:4" x14ac:dyDescent="0.25">
      <c r="A45" s="20">
        <v>44026</v>
      </c>
      <c r="B45">
        <v>7000</v>
      </c>
    </row>
    <row r="46" spans="1:4" x14ac:dyDescent="0.25">
      <c r="A46" s="20">
        <v>44025</v>
      </c>
      <c r="B46">
        <v>7000</v>
      </c>
    </row>
    <row r="47" spans="1:4" x14ac:dyDescent="0.25">
      <c r="A47" s="20">
        <v>44024</v>
      </c>
      <c r="B47">
        <v>7000</v>
      </c>
    </row>
    <row r="48" spans="1:4" x14ac:dyDescent="0.25">
      <c r="A48" s="20">
        <v>44023</v>
      </c>
      <c r="B48">
        <v>7000</v>
      </c>
    </row>
    <row r="49" spans="1:5" x14ac:dyDescent="0.25">
      <c r="A49" s="20">
        <v>44022</v>
      </c>
      <c r="B49">
        <v>7000</v>
      </c>
    </row>
    <row r="50" spans="1:5" x14ac:dyDescent="0.25">
      <c r="A50" s="20">
        <v>44021</v>
      </c>
      <c r="B50">
        <v>7000</v>
      </c>
    </row>
    <row r="51" spans="1:5" x14ac:dyDescent="0.25">
      <c r="A51" s="20">
        <v>44020</v>
      </c>
      <c r="B51"/>
      <c r="D51">
        <v>50000</v>
      </c>
    </row>
    <row r="52" spans="1:5" x14ac:dyDescent="0.25">
      <c r="A52" s="7" t="s">
        <v>16</v>
      </c>
      <c r="B52" s="3"/>
      <c r="C52" s="3">
        <v>105000</v>
      </c>
      <c r="D52" s="3"/>
      <c r="E52" s="3"/>
    </row>
  </sheetData>
  <sheetProtection sheet="1" objects="1" scenarios="1" insertRows="0"/>
  <autoFilter ref="A7:A52">
    <sortState ref="A9:E53">
      <sortCondition descending="1" ref="A8:A53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INICIO">
                <anchor moveWithCells="1" sizeWithCells="1">
                  <from>
                    <xdr:col>5</xdr:col>
                    <xdr:colOff>0</xdr:colOff>
                    <xdr:row>0</xdr:row>
                    <xdr:rowOff>66675</xdr:rowOff>
                  </from>
                  <to>
                    <xdr:col>6</xdr:col>
                    <xdr:colOff>114300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E5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18</v>
      </c>
    </row>
    <row r="2" spans="1:5" x14ac:dyDescent="0.25">
      <c r="A2" t="s">
        <v>3</v>
      </c>
      <c r="B2" s="21">
        <f>SUM(C7:C501)</f>
        <v>182000</v>
      </c>
    </row>
    <row r="3" spans="1:5" x14ac:dyDescent="0.25">
      <c r="A3" t="s">
        <v>2</v>
      </c>
      <c r="B3" s="21">
        <f>SUM(B7:B501)</f>
        <v>105000</v>
      </c>
    </row>
    <row r="4" spans="1:5" x14ac:dyDescent="0.25">
      <c r="A4" t="s">
        <v>1</v>
      </c>
      <c r="B4" s="21">
        <f>SUM(D7:D501)</f>
        <v>21000</v>
      </c>
    </row>
    <row r="5" spans="1:5" ht="30" x14ac:dyDescent="0.25">
      <c r="A5" s="6" t="s">
        <v>4</v>
      </c>
      <c r="B5" s="8">
        <f>B2-B4</f>
        <v>161000</v>
      </c>
      <c r="C5" s="6" t="s">
        <v>15</v>
      </c>
      <c r="D5" s="5">
        <f>B5/7000</f>
        <v>23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7000</v>
      </c>
      <c r="C9" s="7">
        <v>0</v>
      </c>
      <c r="D9" s="7">
        <v>0</v>
      </c>
      <c r="E9" s="7">
        <v>0</v>
      </c>
    </row>
    <row r="10" spans="1:5" x14ac:dyDescent="0.25">
      <c r="A10" s="2">
        <v>44062</v>
      </c>
      <c r="B10" s="4">
        <v>7000</v>
      </c>
    </row>
    <row r="11" spans="1:5" x14ac:dyDescent="0.25">
      <c r="A11" s="2">
        <v>44061</v>
      </c>
      <c r="B11" s="4">
        <v>7000</v>
      </c>
      <c r="D11" s="4">
        <v>14000</v>
      </c>
    </row>
    <row r="12" spans="1:5" x14ac:dyDescent="0.25">
      <c r="A12" s="2">
        <v>44060</v>
      </c>
      <c r="B12" s="4">
        <v>7000</v>
      </c>
    </row>
    <row r="13" spans="1:5" x14ac:dyDescent="0.25">
      <c r="A13" s="2">
        <v>44059</v>
      </c>
      <c r="B13" s="4">
        <v>7000</v>
      </c>
    </row>
    <row r="14" spans="1:5" x14ac:dyDescent="0.25">
      <c r="A14" s="2">
        <v>44058</v>
      </c>
      <c r="B14" s="4">
        <v>7000</v>
      </c>
    </row>
    <row r="15" spans="1:5" x14ac:dyDescent="0.25">
      <c r="A15" s="2">
        <v>44057</v>
      </c>
      <c r="C15" s="4">
        <v>7000</v>
      </c>
    </row>
    <row r="16" spans="1:5" x14ac:dyDescent="0.25">
      <c r="A16" s="2">
        <v>44056</v>
      </c>
      <c r="B16" s="4">
        <v>7000</v>
      </c>
      <c r="D16" s="4">
        <v>7000</v>
      </c>
    </row>
    <row r="17" spans="1:3" x14ac:dyDescent="0.25">
      <c r="A17" s="2">
        <v>44055</v>
      </c>
      <c r="B17" s="4">
        <v>7000</v>
      </c>
    </row>
    <row r="18" spans="1:3" x14ac:dyDescent="0.25">
      <c r="A18" s="2">
        <v>44054</v>
      </c>
      <c r="C18" s="4">
        <v>7000</v>
      </c>
    </row>
    <row r="19" spans="1:3" x14ac:dyDescent="0.25">
      <c r="A19" s="2">
        <v>44053</v>
      </c>
      <c r="C19" s="4">
        <v>7000</v>
      </c>
    </row>
    <row r="20" spans="1:3" x14ac:dyDescent="0.25">
      <c r="A20" s="2">
        <v>44052</v>
      </c>
      <c r="C20" s="4">
        <v>7000</v>
      </c>
    </row>
    <row r="21" spans="1:3" x14ac:dyDescent="0.25">
      <c r="A21" s="2">
        <v>44051</v>
      </c>
      <c r="C21" s="4">
        <v>7000</v>
      </c>
    </row>
    <row r="22" spans="1:3" x14ac:dyDescent="0.25">
      <c r="A22" s="2">
        <v>44050</v>
      </c>
      <c r="C22" s="4">
        <v>7000</v>
      </c>
    </row>
    <row r="23" spans="1:3" x14ac:dyDescent="0.25">
      <c r="A23" s="2">
        <v>44049</v>
      </c>
      <c r="C23" s="4">
        <v>7000</v>
      </c>
    </row>
    <row r="24" spans="1:3" x14ac:dyDescent="0.25">
      <c r="A24" s="2">
        <v>44048</v>
      </c>
      <c r="C24" s="4">
        <v>7000</v>
      </c>
    </row>
    <row r="25" spans="1:3" x14ac:dyDescent="0.25">
      <c r="A25" s="2">
        <v>44047</v>
      </c>
      <c r="C25" s="4">
        <v>7000</v>
      </c>
    </row>
    <row r="26" spans="1:3" x14ac:dyDescent="0.25">
      <c r="A26" s="2">
        <v>44046</v>
      </c>
      <c r="C26" s="4">
        <v>7000</v>
      </c>
    </row>
    <row r="27" spans="1:3" x14ac:dyDescent="0.25">
      <c r="A27" s="2">
        <v>44045</v>
      </c>
      <c r="C27" s="4">
        <v>7000</v>
      </c>
    </row>
    <row r="28" spans="1:3" x14ac:dyDescent="0.25">
      <c r="A28" s="2">
        <v>44044</v>
      </c>
      <c r="C28" s="4">
        <v>7000</v>
      </c>
    </row>
    <row r="29" spans="1:3" x14ac:dyDescent="0.25">
      <c r="A29" s="2">
        <v>44043</v>
      </c>
      <c r="C29" s="4">
        <v>7000</v>
      </c>
    </row>
    <row r="30" spans="1:3" x14ac:dyDescent="0.25">
      <c r="A30" s="2">
        <v>44042</v>
      </c>
      <c r="C30" s="4">
        <v>7000</v>
      </c>
    </row>
    <row r="31" spans="1:3" x14ac:dyDescent="0.25">
      <c r="A31" s="2">
        <v>44041</v>
      </c>
      <c r="C31" s="4">
        <v>7000</v>
      </c>
    </row>
    <row r="32" spans="1:3" x14ac:dyDescent="0.25">
      <c r="A32" s="2">
        <v>44040</v>
      </c>
      <c r="C32" s="4">
        <v>7000</v>
      </c>
    </row>
    <row r="33" spans="1:3" x14ac:dyDescent="0.25">
      <c r="A33" s="2">
        <v>44039</v>
      </c>
      <c r="C33" s="4">
        <v>7000</v>
      </c>
    </row>
    <row r="34" spans="1:3" x14ac:dyDescent="0.25">
      <c r="A34" s="2">
        <v>44038</v>
      </c>
      <c r="C34" s="4">
        <v>7000</v>
      </c>
    </row>
    <row r="35" spans="1:3" x14ac:dyDescent="0.25">
      <c r="A35" s="2">
        <v>44037</v>
      </c>
      <c r="C35" s="4">
        <v>7000</v>
      </c>
    </row>
    <row r="36" spans="1:3" x14ac:dyDescent="0.25">
      <c r="A36" s="2">
        <v>44036</v>
      </c>
      <c r="C36" s="4">
        <v>7000</v>
      </c>
    </row>
    <row r="37" spans="1:3" x14ac:dyDescent="0.25">
      <c r="A37" s="2">
        <v>44035</v>
      </c>
      <c r="C37" s="4">
        <v>7000</v>
      </c>
    </row>
    <row r="38" spans="1:3" x14ac:dyDescent="0.25">
      <c r="A38" s="2">
        <v>44034</v>
      </c>
      <c r="C38" s="4">
        <v>7000</v>
      </c>
    </row>
    <row r="39" spans="1:3" x14ac:dyDescent="0.25">
      <c r="A39" s="2">
        <v>44033</v>
      </c>
      <c r="C39" s="4">
        <v>7000</v>
      </c>
    </row>
    <row r="40" spans="1:3" x14ac:dyDescent="0.25">
      <c r="A40" s="2">
        <v>44032</v>
      </c>
      <c r="B40" s="4">
        <v>7000</v>
      </c>
    </row>
    <row r="41" spans="1:3" x14ac:dyDescent="0.25">
      <c r="A41" s="2">
        <v>44031</v>
      </c>
      <c r="C41" s="4">
        <v>7000</v>
      </c>
    </row>
    <row r="42" spans="1:3" x14ac:dyDescent="0.25">
      <c r="A42" s="2">
        <v>44030</v>
      </c>
      <c r="C42" s="4">
        <v>7000</v>
      </c>
    </row>
    <row r="43" spans="1:3" x14ac:dyDescent="0.25">
      <c r="A43" s="2">
        <v>44029</v>
      </c>
      <c r="C43" s="4">
        <v>7000</v>
      </c>
    </row>
    <row r="44" spans="1:3" x14ac:dyDescent="0.25">
      <c r="A44" s="2">
        <v>44028</v>
      </c>
      <c r="B44" s="4">
        <v>7000</v>
      </c>
    </row>
    <row r="45" spans="1:3" x14ac:dyDescent="0.25">
      <c r="A45" s="2">
        <v>44027</v>
      </c>
      <c r="B45" s="4">
        <v>7000</v>
      </c>
    </row>
    <row r="46" spans="1:3" x14ac:dyDescent="0.25">
      <c r="A46" s="2">
        <v>44026</v>
      </c>
      <c r="B46" s="4">
        <v>7000</v>
      </c>
    </row>
    <row r="47" spans="1:3" x14ac:dyDescent="0.25">
      <c r="A47" s="2">
        <v>44025</v>
      </c>
      <c r="B47" s="4">
        <v>7000</v>
      </c>
    </row>
    <row r="48" spans="1:3" x14ac:dyDescent="0.25">
      <c r="A48" s="2">
        <v>44024</v>
      </c>
      <c r="B48" s="4">
        <v>7000</v>
      </c>
    </row>
    <row r="49" spans="1:2" x14ac:dyDescent="0.25">
      <c r="A49" s="2">
        <v>44023</v>
      </c>
      <c r="B49" s="4">
        <v>7000</v>
      </c>
    </row>
    <row r="50" spans="1:2" x14ac:dyDescent="0.25">
      <c r="B50" s="20"/>
    </row>
  </sheetData>
  <sheetProtection sheet="1" objects="1" scenarios="1" insertRows="0"/>
  <autoFilter ref="A7:A50">
    <sortState ref="A9:E49">
      <sortCondition descending="1" ref="A8:A4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714375</xdr:colOff>
                    <xdr:row>0</xdr:row>
                    <xdr:rowOff>57150</xdr:rowOff>
                  </from>
                  <to>
                    <xdr:col>6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0"/>
  <sheetViews>
    <sheetView workbookViewId="0">
      <selection activeCell="A8" sqref="A8"/>
    </sheetView>
  </sheetViews>
  <sheetFormatPr baseColWidth="10" defaultRowHeight="15" x14ac:dyDescent="0.25"/>
  <cols>
    <col min="2" max="5" width="11.42578125" style="4"/>
  </cols>
  <sheetData>
    <row r="1" spans="1:5" x14ac:dyDescent="0.25">
      <c r="A1" s="7" t="s">
        <v>20</v>
      </c>
    </row>
    <row r="2" spans="1:5" x14ac:dyDescent="0.25">
      <c r="A2" t="s">
        <v>3</v>
      </c>
      <c r="B2" s="21">
        <f>SUM(C7:C500)</f>
        <v>66000</v>
      </c>
    </row>
    <row r="3" spans="1:5" x14ac:dyDescent="0.25">
      <c r="A3" t="s">
        <v>2</v>
      </c>
      <c r="B3" s="21">
        <f>SUM(B7:B500)</f>
        <v>0</v>
      </c>
    </row>
    <row r="4" spans="1:5" x14ac:dyDescent="0.25">
      <c r="A4" t="s">
        <v>1</v>
      </c>
      <c r="B4" s="21">
        <f>SUM(D7:D500)</f>
        <v>0</v>
      </c>
    </row>
    <row r="5" spans="1:5" ht="30" x14ac:dyDescent="0.25">
      <c r="A5" s="6" t="s">
        <v>4</v>
      </c>
      <c r="B5" s="8">
        <f>B2-B4</f>
        <v>66000</v>
      </c>
      <c r="C5" s="6" t="s">
        <v>15</v>
      </c>
      <c r="D5" s="5">
        <f>B5/7000</f>
        <v>9.4285714285714288</v>
      </c>
    </row>
    <row r="7" spans="1:5" x14ac:dyDescent="0.25">
      <c r="A7" s="12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37"/>
      <c r="B8" s="7"/>
      <c r="C8" s="7"/>
      <c r="D8" s="7"/>
      <c r="E8" s="7"/>
    </row>
    <row r="9" spans="1:5" x14ac:dyDescent="0.25">
      <c r="A9" s="37" t="s">
        <v>58</v>
      </c>
      <c r="B9" s="7"/>
      <c r="C9" s="7">
        <v>7000</v>
      </c>
      <c r="D9" s="7">
        <v>0</v>
      </c>
      <c r="E9" s="7">
        <v>0</v>
      </c>
    </row>
    <row r="10" spans="1:5" x14ac:dyDescent="0.25">
      <c r="A10" s="37" t="s">
        <v>66</v>
      </c>
      <c r="B10" s="7">
        <v>0</v>
      </c>
      <c r="C10" s="7">
        <v>59000</v>
      </c>
      <c r="D10" s="7">
        <v>0</v>
      </c>
      <c r="E10" s="7">
        <v>0</v>
      </c>
    </row>
  </sheetData>
  <sheetProtection sheet="1" objects="1" scenarios="1" insertRows="0"/>
  <autoFilter ref="A7:A11">
    <sortState ref="A9:E12">
      <sortCondition descending="1" ref="A8:A1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INICIO">
                <anchor moveWithCells="1" sizeWithCells="1">
                  <from>
                    <xdr:col>5</xdr:col>
                    <xdr:colOff>19050</xdr:colOff>
                    <xdr:row>0</xdr:row>
                    <xdr:rowOff>76200</xdr:rowOff>
                  </from>
                  <to>
                    <xdr:col>6</xdr:col>
                    <xdr:colOff>133350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E11"/>
  <sheetViews>
    <sheetView workbookViewId="0">
      <selection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24" t="s">
        <v>21</v>
      </c>
      <c r="B1" s="25"/>
      <c r="C1" s="25"/>
      <c r="D1" s="25"/>
    </row>
    <row r="2" spans="1:5" x14ac:dyDescent="0.25">
      <c r="A2" s="26" t="s">
        <v>3</v>
      </c>
      <c r="B2" s="27">
        <f>SUM(C7:C502)</f>
        <v>216000</v>
      </c>
      <c r="C2" s="25"/>
      <c r="D2" s="25"/>
    </row>
    <row r="3" spans="1:5" x14ac:dyDescent="0.25">
      <c r="A3" s="26" t="s">
        <v>2</v>
      </c>
      <c r="B3" s="27">
        <f>SUM(B7:B502)</f>
        <v>0</v>
      </c>
      <c r="C3" s="25"/>
      <c r="D3" s="25"/>
    </row>
    <row r="4" spans="1:5" x14ac:dyDescent="0.25">
      <c r="A4" s="26" t="s">
        <v>1</v>
      </c>
      <c r="B4" s="27">
        <f>SUM(D7:D502)</f>
        <v>0</v>
      </c>
      <c r="C4" s="25"/>
      <c r="D4" s="25"/>
    </row>
    <row r="5" spans="1:5" ht="30" x14ac:dyDescent="0.25">
      <c r="A5" s="24" t="s">
        <v>4</v>
      </c>
      <c r="B5" s="28">
        <f>B2-B4</f>
        <v>216000</v>
      </c>
      <c r="C5" s="29" t="s">
        <v>15</v>
      </c>
      <c r="D5" s="25">
        <f>B5/7000</f>
        <v>30.857142857142858</v>
      </c>
    </row>
    <row r="6" spans="1:5" x14ac:dyDescent="0.25">
      <c r="A6" s="26"/>
      <c r="B6" s="25"/>
      <c r="C6" s="25"/>
      <c r="D6" s="25"/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0</v>
      </c>
      <c r="C9" s="7">
        <v>7000</v>
      </c>
      <c r="D9" s="7">
        <v>0</v>
      </c>
      <c r="E9" s="7">
        <v>0</v>
      </c>
    </row>
    <row r="10" spans="1:5" x14ac:dyDescent="0.25">
      <c r="A10" s="2">
        <v>44061</v>
      </c>
      <c r="C10" s="4">
        <v>209000</v>
      </c>
    </row>
    <row r="11" spans="1:5" x14ac:dyDescent="0.25">
      <c r="A11" s="7"/>
      <c r="B11" s="7"/>
      <c r="C11" s="7"/>
      <c r="D11" s="7"/>
      <c r="E11" s="7"/>
    </row>
  </sheetData>
  <sheetProtection sheet="1" objects="1" scenarios="1" insertRows="0"/>
  <autoFilter ref="A7:A11">
    <sortState ref="A9:E10">
      <sortCondition descending="1" ref="A8:A10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714375</xdr:colOff>
                    <xdr:row>0</xdr:row>
                    <xdr:rowOff>57150</xdr:rowOff>
                  </from>
                  <to>
                    <xdr:col>6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E11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22</v>
      </c>
    </row>
    <row r="2" spans="1:5" x14ac:dyDescent="0.25">
      <c r="A2" t="s">
        <v>3</v>
      </c>
      <c r="B2" s="21">
        <f>SUM(C7:C502)</f>
        <v>347000</v>
      </c>
    </row>
    <row r="3" spans="1:5" x14ac:dyDescent="0.25">
      <c r="A3" t="s">
        <v>2</v>
      </c>
      <c r="B3" s="21">
        <f>SUM(B7:B502)</f>
        <v>0</v>
      </c>
    </row>
    <row r="4" spans="1:5" x14ac:dyDescent="0.25">
      <c r="A4" t="s">
        <v>1</v>
      </c>
      <c r="B4" s="21">
        <f>SUM(D11:D502)</f>
        <v>0</v>
      </c>
    </row>
    <row r="5" spans="1:5" ht="30" x14ac:dyDescent="0.25">
      <c r="A5" s="7" t="s">
        <v>4</v>
      </c>
      <c r="B5" s="8">
        <f>B2-B4</f>
        <v>347000</v>
      </c>
      <c r="C5" s="6" t="s">
        <v>15</v>
      </c>
      <c r="D5" s="4">
        <f>B5/7000</f>
        <v>49.571428571428569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0</v>
      </c>
      <c r="C9" s="7">
        <v>7000</v>
      </c>
      <c r="D9" s="7">
        <v>0</v>
      </c>
      <c r="E9" s="7">
        <v>0</v>
      </c>
    </row>
    <row r="10" spans="1:5" x14ac:dyDescent="0.25">
      <c r="A10" s="2">
        <v>44061</v>
      </c>
      <c r="C10" s="4">
        <v>340000</v>
      </c>
    </row>
    <row r="11" spans="1:5" x14ac:dyDescent="0.25">
      <c r="A11" s="7"/>
      <c r="B11" s="7"/>
      <c r="C11" s="7"/>
      <c r="D11" s="7"/>
      <c r="E11" s="7"/>
    </row>
  </sheetData>
  <sheetProtection sheet="1" objects="1" scenarios="1" insertRows="0"/>
  <autoFilter ref="A7:A11">
    <sortState ref="A9:E10">
      <sortCondition descending="1" ref="A8:A10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647700</xdr:colOff>
                    <xdr:row>0</xdr:row>
                    <xdr:rowOff>47625</xdr:rowOff>
                  </from>
                  <to>
                    <xdr:col>6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E1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ht="30" x14ac:dyDescent="0.25">
      <c r="A1" s="6" t="s">
        <v>23</v>
      </c>
    </row>
    <row r="2" spans="1:5" x14ac:dyDescent="0.25">
      <c r="A2" t="s">
        <v>3</v>
      </c>
      <c r="B2" s="21">
        <f>SUM(C7:C501)</f>
        <v>136000</v>
      </c>
    </row>
    <row r="3" spans="1:5" x14ac:dyDescent="0.25">
      <c r="A3" t="s">
        <v>2</v>
      </c>
      <c r="B3" s="21">
        <f>SUM(B7:B501)</f>
        <v>14000</v>
      </c>
    </row>
    <row r="4" spans="1:5" x14ac:dyDescent="0.25">
      <c r="A4" t="s">
        <v>1</v>
      </c>
      <c r="B4" s="21">
        <f>SUM(D7:D501)</f>
        <v>0</v>
      </c>
    </row>
    <row r="5" spans="1:5" ht="30" x14ac:dyDescent="0.25">
      <c r="A5" s="7" t="s">
        <v>4</v>
      </c>
      <c r="B5" s="8">
        <f>B2-B4</f>
        <v>136000</v>
      </c>
      <c r="C5" s="6" t="s">
        <v>15</v>
      </c>
      <c r="D5" s="4">
        <f>B5/7000</f>
        <v>19.428571428571427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14000</v>
      </c>
      <c r="C9" s="7">
        <v>0</v>
      </c>
      <c r="D9" s="7">
        <v>0</v>
      </c>
      <c r="E9" s="7">
        <v>0</v>
      </c>
    </row>
    <row r="10" spans="1:5" x14ac:dyDescent="0.25">
      <c r="A10" s="2">
        <v>44061</v>
      </c>
      <c r="C10" s="4">
        <v>136000</v>
      </c>
    </row>
  </sheetData>
  <sheetProtection sheet="1" objects="1" scenarios="1" insertRows="0"/>
  <autoFilter ref="A7:A10">
    <sortState ref="A9:E9">
      <sortCondition descending="1" ref="A8:A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647700</xdr:colOff>
                    <xdr:row>0</xdr:row>
                    <xdr:rowOff>28575</xdr:rowOff>
                  </from>
                  <to>
                    <xdr:col>6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E1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44</v>
      </c>
    </row>
    <row r="2" spans="1:5" x14ac:dyDescent="0.25">
      <c r="A2" t="s">
        <v>3</v>
      </c>
      <c r="B2" s="21">
        <f>SUM(C7:C501)</f>
        <v>92000</v>
      </c>
    </row>
    <row r="3" spans="1:5" x14ac:dyDescent="0.25">
      <c r="A3" t="s">
        <v>2</v>
      </c>
      <c r="B3" s="21">
        <f>SUM(B7:B501)</f>
        <v>0</v>
      </c>
    </row>
    <row r="4" spans="1:5" x14ac:dyDescent="0.25">
      <c r="A4" t="s">
        <v>1</v>
      </c>
      <c r="B4" s="21">
        <f>SUM(D7:D501)</f>
        <v>0</v>
      </c>
    </row>
    <row r="5" spans="1:5" ht="30" x14ac:dyDescent="0.25">
      <c r="A5" s="7" t="s">
        <v>4</v>
      </c>
      <c r="B5" s="8">
        <f>B2-B4</f>
        <v>92000</v>
      </c>
      <c r="C5" s="6" t="s">
        <v>15</v>
      </c>
      <c r="D5" s="4">
        <f>B5/7000</f>
        <v>13.142857142857142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68</v>
      </c>
      <c r="B9" s="7">
        <v>0</v>
      </c>
      <c r="C9" s="7">
        <v>7000</v>
      </c>
      <c r="D9" s="7">
        <v>0</v>
      </c>
      <c r="E9" s="7" t="s">
        <v>67</v>
      </c>
    </row>
    <row r="10" spans="1:5" x14ac:dyDescent="0.25">
      <c r="A10" s="2">
        <v>44030</v>
      </c>
      <c r="C10" s="4">
        <v>85000</v>
      </c>
    </row>
  </sheetData>
  <sheetProtection sheet="1" objects="1" scenarios="1" insertRows="0"/>
  <autoFilter ref="A7:A10">
    <sortState ref="A9:E9">
      <sortCondition descending="1" ref="A8:A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704850</xdr:colOff>
                    <xdr:row>0</xdr:row>
                    <xdr:rowOff>38100</xdr:rowOff>
                  </from>
                  <to>
                    <xdr:col>6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E8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24</v>
      </c>
    </row>
    <row r="2" spans="1:5" x14ac:dyDescent="0.25">
      <c r="A2" t="s">
        <v>3</v>
      </c>
      <c r="B2" s="21">
        <f>SUM(C7:C499)</f>
        <v>0</v>
      </c>
    </row>
    <row r="3" spans="1:5" x14ac:dyDescent="0.25">
      <c r="A3" t="s">
        <v>2</v>
      </c>
      <c r="B3" s="21">
        <f>SUM(B7:B499)</f>
        <v>0</v>
      </c>
    </row>
    <row r="4" spans="1:5" x14ac:dyDescent="0.25">
      <c r="A4" t="s">
        <v>1</v>
      </c>
      <c r="B4" s="21">
        <f>SUM(D7:D499)</f>
        <v>0</v>
      </c>
    </row>
    <row r="5" spans="1:5" ht="30" x14ac:dyDescent="0.25">
      <c r="A5" s="7" t="s">
        <v>4</v>
      </c>
      <c r="B5" s="8">
        <f>B2-B4</f>
        <v>0</v>
      </c>
      <c r="C5" s="6" t="s">
        <v>15</v>
      </c>
      <c r="D5" s="4">
        <f>B5/7000</f>
        <v>0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</sheetData>
  <sheetProtection sheet="1" objects="1" scenarios="1" insertRows="0"/>
  <autoFilter ref="A7:A8">
    <sortState ref="A9:E9">
      <sortCondition descending="1" ref="A8:A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685800</xdr:colOff>
                    <xdr:row>0</xdr:row>
                    <xdr:rowOff>66675</xdr:rowOff>
                  </from>
                  <to>
                    <xdr:col>6</xdr:col>
                    <xdr:colOff>38100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E50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25</v>
      </c>
    </row>
    <row r="2" spans="1:5" x14ac:dyDescent="0.25">
      <c r="A2" t="s">
        <v>3</v>
      </c>
      <c r="B2" s="21">
        <f>SUM(C7:C498)</f>
        <v>548000</v>
      </c>
    </row>
    <row r="3" spans="1:5" x14ac:dyDescent="0.25">
      <c r="A3" t="s">
        <v>2</v>
      </c>
      <c r="B3" s="21">
        <f>SUM(B7:B498)</f>
        <v>0</v>
      </c>
    </row>
    <row r="4" spans="1:5" x14ac:dyDescent="0.25">
      <c r="A4" t="s">
        <v>1</v>
      </c>
      <c r="B4" s="21">
        <f>SUM(D7:D498)</f>
        <v>240000</v>
      </c>
    </row>
    <row r="5" spans="1:5" ht="30" x14ac:dyDescent="0.25">
      <c r="A5" s="7" t="s">
        <v>4</v>
      </c>
      <c r="B5" s="8">
        <f>B2-B4</f>
        <v>308000</v>
      </c>
      <c r="C5" s="6" t="s">
        <v>15</v>
      </c>
      <c r="D5" s="4">
        <f>B5/7000</f>
        <v>44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2">
        <v>44061</v>
      </c>
      <c r="D9" s="4">
        <v>25000</v>
      </c>
    </row>
    <row r="10" spans="1:5" x14ac:dyDescent="0.25">
      <c r="A10" s="2">
        <v>44060</v>
      </c>
      <c r="C10" s="4">
        <v>7000</v>
      </c>
    </row>
    <row r="11" spans="1:5" x14ac:dyDescent="0.25">
      <c r="A11" s="2">
        <v>44059</v>
      </c>
      <c r="C11" s="4">
        <v>7000</v>
      </c>
    </row>
    <row r="12" spans="1:5" x14ac:dyDescent="0.25">
      <c r="A12" s="2">
        <v>44058</v>
      </c>
      <c r="D12" s="4">
        <v>25000</v>
      </c>
    </row>
    <row r="13" spans="1:5" x14ac:dyDescent="0.25">
      <c r="A13" s="2">
        <v>44057</v>
      </c>
      <c r="C13" s="4">
        <v>7000</v>
      </c>
    </row>
    <row r="14" spans="1:5" x14ac:dyDescent="0.25">
      <c r="A14" s="2">
        <v>44056</v>
      </c>
      <c r="C14" s="4">
        <v>7000</v>
      </c>
    </row>
    <row r="15" spans="1:5" x14ac:dyDescent="0.25">
      <c r="A15" s="2">
        <v>44055</v>
      </c>
      <c r="C15" s="4">
        <v>7000</v>
      </c>
    </row>
    <row r="16" spans="1:5" x14ac:dyDescent="0.25">
      <c r="A16" s="2">
        <v>44054</v>
      </c>
      <c r="C16" s="4">
        <v>7000</v>
      </c>
    </row>
    <row r="17" spans="1:4" x14ac:dyDescent="0.25">
      <c r="A17" s="2">
        <v>44053</v>
      </c>
      <c r="C17" s="4">
        <v>7000</v>
      </c>
    </row>
    <row r="18" spans="1:4" x14ac:dyDescent="0.25">
      <c r="A18" s="2">
        <v>44052</v>
      </c>
      <c r="C18" s="4">
        <v>7000</v>
      </c>
    </row>
    <row r="19" spans="1:4" x14ac:dyDescent="0.25">
      <c r="A19" s="2">
        <v>44051</v>
      </c>
      <c r="C19" s="4">
        <v>7000</v>
      </c>
    </row>
    <row r="20" spans="1:4" x14ac:dyDescent="0.25">
      <c r="A20" s="2">
        <v>44050</v>
      </c>
      <c r="C20" s="4">
        <v>7000</v>
      </c>
    </row>
    <row r="21" spans="1:4" x14ac:dyDescent="0.25">
      <c r="A21" s="2">
        <v>44049</v>
      </c>
      <c r="C21" s="4">
        <v>7000</v>
      </c>
    </row>
    <row r="22" spans="1:4" x14ac:dyDescent="0.25">
      <c r="A22" s="2">
        <v>44048</v>
      </c>
      <c r="C22" s="4">
        <v>7000</v>
      </c>
    </row>
    <row r="23" spans="1:4" x14ac:dyDescent="0.25">
      <c r="A23" s="2">
        <v>44047</v>
      </c>
      <c r="C23" s="4">
        <v>7000</v>
      </c>
    </row>
    <row r="24" spans="1:4" x14ac:dyDescent="0.25">
      <c r="A24" s="2">
        <v>44046</v>
      </c>
      <c r="C24" s="4">
        <v>7000</v>
      </c>
    </row>
    <row r="25" spans="1:4" x14ac:dyDescent="0.25">
      <c r="A25" s="2">
        <v>44045</v>
      </c>
      <c r="C25" s="4">
        <v>7000</v>
      </c>
    </row>
    <row r="26" spans="1:4" x14ac:dyDescent="0.25">
      <c r="A26" s="2">
        <v>44044</v>
      </c>
      <c r="D26" s="4">
        <v>60000</v>
      </c>
    </row>
    <row r="27" spans="1:4" x14ac:dyDescent="0.25">
      <c r="A27" s="2">
        <v>44043</v>
      </c>
      <c r="C27" s="4">
        <v>7000</v>
      </c>
    </row>
    <row r="28" spans="1:4" x14ac:dyDescent="0.25">
      <c r="A28" s="2">
        <v>44042</v>
      </c>
      <c r="C28" s="4">
        <v>7000</v>
      </c>
    </row>
    <row r="29" spans="1:4" x14ac:dyDescent="0.25">
      <c r="A29" s="2">
        <v>44041</v>
      </c>
      <c r="C29" s="4">
        <v>7000</v>
      </c>
    </row>
    <row r="30" spans="1:4" x14ac:dyDescent="0.25">
      <c r="A30" s="2">
        <v>44040</v>
      </c>
      <c r="C30" s="4">
        <v>7000</v>
      </c>
    </row>
    <row r="31" spans="1:4" x14ac:dyDescent="0.25">
      <c r="A31" s="2">
        <v>44039</v>
      </c>
      <c r="C31" s="4">
        <v>7000</v>
      </c>
    </row>
    <row r="32" spans="1:4" x14ac:dyDescent="0.25">
      <c r="A32" s="2">
        <v>44038</v>
      </c>
      <c r="C32" s="4">
        <v>7000</v>
      </c>
    </row>
    <row r="33" spans="1:4" x14ac:dyDescent="0.25">
      <c r="A33" s="2">
        <v>44037</v>
      </c>
      <c r="D33" s="4">
        <v>40000</v>
      </c>
    </row>
    <row r="34" spans="1:4" x14ac:dyDescent="0.25">
      <c r="A34" s="2">
        <v>44036</v>
      </c>
      <c r="C34" s="4">
        <v>7000</v>
      </c>
    </row>
    <row r="35" spans="1:4" x14ac:dyDescent="0.25">
      <c r="A35" s="2">
        <v>44035</v>
      </c>
      <c r="C35" s="4">
        <v>7000</v>
      </c>
    </row>
    <row r="36" spans="1:4" x14ac:dyDescent="0.25">
      <c r="A36" s="2">
        <v>44034</v>
      </c>
      <c r="C36" s="4">
        <v>7000</v>
      </c>
    </row>
    <row r="37" spans="1:4" x14ac:dyDescent="0.25">
      <c r="A37" s="2">
        <v>44033</v>
      </c>
      <c r="C37" s="4">
        <v>7000</v>
      </c>
    </row>
    <row r="38" spans="1:4" x14ac:dyDescent="0.25">
      <c r="A38" s="2">
        <v>44032</v>
      </c>
      <c r="C38" s="4">
        <v>7000</v>
      </c>
    </row>
    <row r="39" spans="1:4" x14ac:dyDescent="0.25">
      <c r="A39" s="2">
        <v>44031</v>
      </c>
      <c r="C39" s="4">
        <v>7000</v>
      </c>
    </row>
    <row r="40" spans="1:4" x14ac:dyDescent="0.25">
      <c r="A40" s="2">
        <v>44030</v>
      </c>
      <c r="D40" s="4">
        <v>50000</v>
      </c>
    </row>
    <row r="41" spans="1:4" x14ac:dyDescent="0.25">
      <c r="A41" s="2">
        <v>44029</v>
      </c>
      <c r="C41" s="4">
        <v>7000</v>
      </c>
    </row>
    <row r="42" spans="1:4" x14ac:dyDescent="0.25">
      <c r="A42" s="2">
        <v>44028</v>
      </c>
      <c r="C42" s="4">
        <v>7000</v>
      </c>
    </row>
    <row r="43" spans="1:4" x14ac:dyDescent="0.25">
      <c r="A43" s="2">
        <v>44027</v>
      </c>
      <c r="C43" s="4">
        <v>7000</v>
      </c>
    </row>
    <row r="44" spans="1:4" x14ac:dyDescent="0.25">
      <c r="A44" s="2">
        <v>44026</v>
      </c>
      <c r="C44" s="4">
        <v>7000</v>
      </c>
    </row>
    <row r="45" spans="1:4" x14ac:dyDescent="0.25">
      <c r="A45" s="2">
        <v>44025</v>
      </c>
      <c r="C45" s="4">
        <v>7000</v>
      </c>
    </row>
    <row r="46" spans="1:4" x14ac:dyDescent="0.25">
      <c r="A46" s="2">
        <v>44024</v>
      </c>
      <c r="C46" s="4">
        <v>7000</v>
      </c>
    </row>
    <row r="47" spans="1:4" x14ac:dyDescent="0.25">
      <c r="A47" s="2">
        <v>44023</v>
      </c>
      <c r="D47" s="4">
        <v>40000</v>
      </c>
    </row>
    <row r="48" spans="1:4" x14ac:dyDescent="0.25">
      <c r="A48" s="2">
        <v>44022</v>
      </c>
      <c r="C48" s="4">
        <v>7000</v>
      </c>
    </row>
    <row r="49" spans="1:3" x14ac:dyDescent="0.25">
      <c r="A49" s="2">
        <v>44021</v>
      </c>
      <c r="C49" s="4">
        <v>7000</v>
      </c>
    </row>
    <row r="50" spans="1:3" x14ac:dyDescent="0.25">
      <c r="A50" s="2">
        <v>44020</v>
      </c>
      <c r="C50" s="4">
        <v>303000</v>
      </c>
    </row>
  </sheetData>
  <sheetProtection sheet="1" objects="1" scenarios="1" insertRows="0"/>
  <autoFilter ref="A7:A50">
    <sortState ref="A9:E52">
      <sortCondition descending="1" ref="A8:A5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752475</xdr:colOff>
                    <xdr:row>0</xdr:row>
                    <xdr:rowOff>66675</xdr:rowOff>
                  </from>
                  <to>
                    <xdr:col>6</xdr:col>
                    <xdr:colOff>104775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E9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4"/>
  </cols>
  <sheetData>
    <row r="1" spans="1:5" x14ac:dyDescent="0.25">
      <c r="A1" s="7" t="s">
        <v>26</v>
      </c>
    </row>
    <row r="2" spans="1:5" x14ac:dyDescent="0.25">
      <c r="A2" t="s">
        <v>3</v>
      </c>
      <c r="B2" s="21">
        <f>SUM(C7:C498)</f>
        <v>0</v>
      </c>
    </row>
    <row r="3" spans="1:5" x14ac:dyDescent="0.25">
      <c r="A3" t="s">
        <v>2</v>
      </c>
      <c r="B3" s="21">
        <f>SUM(B7:B498)</f>
        <v>7000</v>
      </c>
    </row>
    <row r="4" spans="1:5" x14ac:dyDescent="0.25">
      <c r="A4" t="s">
        <v>1</v>
      </c>
      <c r="B4" s="21">
        <f>SUM(D7:D498)</f>
        <v>0</v>
      </c>
    </row>
    <row r="5" spans="1:5" ht="30" x14ac:dyDescent="0.25">
      <c r="A5" s="7" t="s">
        <v>4</v>
      </c>
      <c r="B5" s="8">
        <f>B2-B4</f>
        <v>0</v>
      </c>
      <c r="C5" s="6" t="s">
        <v>15</v>
      </c>
      <c r="D5" s="4">
        <f>B5/7000</f>
        <v>0</v>
      </c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52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7000</v>
      </c>
      <c r="C9" s="7">
        <v>0</v>
      </c>
      <c r="D9" s="7">
        <v>0</v>
      </c>
      <c r="E9" s="7">
        <v>0</v>
      </c>
    </row>
  </sheetData>
  <sheetProtection sheet="1" objects="1" scenarios="1" insertRows="0"/>
  <autoFilter ref="A7:A10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INICIO">
                <anchor moveWithCells="1" sizeWithCells="1">
                  <from>
                    <xdr:col>4</xdr:col>
                    <xdr:colOff>695325</xdr:colOff>
                    <xdr:row>0</xdr:row>
                    <xdr:rowOff>76200</xdr:rowOff>
                  </from>
                  <to>
                    <xdr:col>6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E19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2" max="4" width="11.42578125" style="3"/>
  </cols>
  <sheetData>
    <row r="1" spans="1:5" x14ac:dyDescent="0.25">
      <c r="A1" s="4" t="s">
        <v>27</v>
      </c>
    </row>
    <row r="2" spans="1:5" x14ac:dyDescent="0.25">
      <c r="A2" t="s">
        <v>3</v>
      </c>
      <c r="B2" s="22">
        <f>SUM(C7:C510)</f>
        <v>0</v>
      </c>
    </row>
    <row r="3" spans="1:5" x14ac:dyDescent="0.25">
      <c r="A3" t="s">
        <v>2</v>
      </c>
      <c r="B3" s="22">
        <f>SUM(B7:B510)</f>
        <v>9000</v>
      </c>
    </row>
    <row r="4" spans="1:5" x14ac:dyDescent="0.25">
      <c r="A4" t="s">
        <v>1</v>
      </c>
      <c r="B4" s="22">
        <f>SUM(D7:D510)</f>
        <v>0</v>
      </c>
    </row>
    <row r="5" spans="1:5" ht="30" x14ac:dyDescent="0.25">
      <c r="A5" s="7" t="s">
        <v>4</v>
      </c>
      <c r="B5" s="23">
        <f>B2-B4</f>
        <v>0</v>
      </c>
      <c r="C5" s="6" t="s">
        <v>15</v>
      </c>
      <c r="D5" s="7">
        <f>B5/7000</f>
        <v>0</v>
      </c>
    </row>
    <row r="6" spans="1:5" x14ac:dyDescent="0.25">
      <c r="A6" s="38" t="s">
        <v>28</v>
      </c>
      <c r="B6" s="38"/>
      <c r="C6" s="38"/>
      <c r="D6" s="38"/>
    </row>
    <row r="7" spans="1:5" x14ac:dyDescent="0.25">
      <c r="A7" s="7" t="s">
        <v>50</v>
      </c>
      <c r="B7" s="7" t="s">
        <v>45</v>
      </c>
      <c r="C7" s="7" t="s">
        <v>51</v>
      </c>
      <c r="D7" s="7" t="s">
        <v>47</v>
      </c>
      <c r="E7" s="7" t="s">
        <v>49</v>
      </c>
    </row>
    <row r="8" spans="1:5" x14ac:dyDescent="0.25">
      <c r="A8" s="7"/>
      <c r="B8" s="7"/>
      <c r="C8" s="7"/>
      <c r="D8" s="7"/>
      <c r="E8" s="7"/>
    </row>
    <row r="9" spans="1:5" x14ac:dyDescent="0.25">
      <c r="A9" s="7" t="s">
        <v>58</v>
      </c>
      <c r="B9" s="7">
        <v>9000</v>
      </c>
      <c r="C9" s="7">
        <v>0</v>
      </c>
      <c r="D9" s="7">
        <v>0</v>
      </c>
      <c r="E9" s="7">
        <v>0</v>
      </c>
    </row>
    <row r="10" spans="1:5" x14ac:dyDescent="0.25">
      <c r="A10" s="7"/>
      <c r="B10" s="7"/>
      <c r="C10" s="7"/>
      <c r="D10" s="7"/>
      <c r="E10" s="7"/>
    </row>
    <row r="11" spans="1:5" x14ac:dyDescent="0.25">
      <c r="A11" s="7"/>
      <c r="B11" s="7"/>
      <c r="C11" s="7"/>
      <c r="D11" s="7"/>
      <c r="E11" s="7"/>
    </row>
    <row r="12" spans="1:5" x14ac:dyDescent="0.25">
      <c r="A12" s="7"/>
      <c r="B12" s="7"/>
      <c r="C12" s="7"/>
      <c r="D12" s="7"/>
      <c r="E12" s="7"/>
    </row>
    <row r="13" spans="1:5" x14ac:dyDescent="0.25">
      <c r="A13" s="7"/>
      <c r="B13" s="7"/>
      <c r="C13" s="7"/>
      <c r="D13" s="7"/>
      <c r="E13" s="7"/>
    </row>
    <row r="14" spans="1:5" x14ac:dyDescent="0.25">
      <c r="A14" s="7"/>
      <c r="B14" s="7"/>
      <c r="C14" s="7"/>
      <c r="D14" s="7"/>
      <c r="E14" s="7"/>
    </row>
    <row r="15" spans="1:5" x14ac:dyDescent="0.25">
      <c r="A15" s="7"/>
      <c r="B15" s="7"/>
      <c r="C15" s="7"/>
      <c r="D15" s="7"/>
      <c r="E15" s="7"/>
    </row>
    <row r="16" spans="1:5" x14ac:dyDescent="0.25">
      <c r="A16" s="7"/>
      <c r="B16" s="7"/>
      <c r="C16" s="7"/>
      <c r="D16" s="7"/>
      <c r="E16" s="7"/>
    </row>
    <row r="17" spans="1:5" x14ac:dyDescent="0.25">
      <c r="A17" s="7"/>
      <c r="B17" s="7"/>
      <c r="C17" s="7"/>
      <c r="D17" s="7"/>
      <c r="E17" s="7"/>
    </row>
    <row r="18" spans="1:5" x14ac:dyDescent="0.25">
      <c r="A18" s="7"/>
      <c r="B18" s="7"/>
      <c r="C18" s="7"/>
      <c r="D18" s="7"/>
      <c r="E18" s="7"/>
    </row>
    <row r="19" spans="1:5" x14ac:dyDescent="0.25">
      <c r="A19" s="7"/>
      <c r="B19" s="7"/>
      <c r="C19" s="7"/>
      <c r="D19" s="7"/>
      <c r="E19" s="7"/>
    </row>
  </sheetData>
  <sheetProtection insertRows="0"/>
  <autoFilter ref="A7:A20">
    <sortState ref="A8:E9">
      <sortCondition descending="1" ref="A7:A9"/>
    </sortState>
  </autoFilter>
  <mergeCells count="1">
    <mergeCell ref="A6:D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NICIO">
                <anchor moveWithCells="1" sizeWithCells="1">
                  <from>
                    <xdr:col>4</xdr:col>
                    <xdr:colOff>609600</xdr:colOff>
                    <xdr:row>0</xdr:row>
                    <xdr:rowOff>95250</xdr:rowOff>
                  </from>
                  <to>
                    <xdr:col>5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X32"/>
  <sheetViews>
    <sheetView tabSelected="1" workbookViewId="0">
      <selection activeCell="C20" sqref="C20"/>
    </sheetView>
  </sheetViews>
  <sheetFormatPr baseColWidth="10" defaultRowHeight="15" x14ac:dyDescent="0.25"/>
  <cols>
    <col min="1" max="1" width="21.5703125" customWidth="1"/>
    <col min="2" max="2" width="14.85546875" customWidth="1"/>
    <col min="3" max="3" width="16" customWidth="1"/>
    <col min="6" max="6" width="32.140625" customWidth="1"/>
  </cols>
  <sheetData>
    <row r="1" spans="1:24" ht="30" x14ac:dyDescent="0.25">
      <c r="C1" s="6" t="s">
        <v>53</v>
      </c>
      <c r="D1" s="6" t="s">
        <v>54</v>
      </c>
      <c r="F1" s="36">
        <f ca="1">TODAY()</f>
        <v>44068</v>
      </c>
      <c r="H1" s="11"/>
      <c r="V1" t="s">
        <v>42</v>
      </c>
      <c r="W1">
        <v>1</v>
      </c>
      <c r="X1" s="11" t="s">
        <v>30</v>
      </c>
    </row>
    <row r="2" spans="1:24" hidden="1" x14ac:dyDescent="0.25">
      <c r="A2" s="31"/>
      <c r="H2" s="11"/>
      <c r="V2" t="s">
        <v>5</v>
      </c>
      <c r="W2">
        <v>2</v>
      </c>
      <c r="X2" s="11" t="s">
        <v>31</v>
      </c>
    </row>
    <row r="3" spans="1:24" hidden="1" x14ac:dyDescent="0.25">
      <c r="A3" s="32">
        <v>8</v>
      </c>
      <c r="H3" s="11"/>
      <c r="V3" t="s">
        <v>8</v>
      </c>
      <c r="W3">
        <v>3</v>
      </c>
      <c r="X3" s="11" t="s">
        <v>32</v>
      </c>
    </row>
    <row r="4" spans="1:24" hidden="1" x14ac:dyDescent="0.25">
      <c r="A4" s="33">
        <v>22</v>
      </c>
      <c r="H4" s="11"/>
      <c r="V4" t="s">
        <v>12</v>
      </c>
      <c r="W4">
        <v>4</v>
      </c>
      <c r="X4" s="11" t="s">
        <v>33</v>
      </c>
    </row>
    <row r="5" spans="1:24" hidden="1" x14ac:dyDescent="0.25">
      <c r="A5" s="34"/>
      <c r="H5" s="11"/>
      <c r="V5" t="s">
        <v>13</v>
      </c>
      <c r="W5">
        <v>5</v>
      </c>
      <c r="X5" s="11" t="s">
        <v>34</v>
      </c>
    </row>
    <row r="6" spans="1:24" hidden="1" x14ac:dyDescent="0.25">
      <c r="A6" s="34"/>
      <c r="H6" s="11"/>
      <c r="V6" t="s">
        <v>14</v>
      </c>
      <c r="W6">
        <v>6</v>
      </c>
      <c r="X6" s="11" t="s">
        <v>35</v>
      </c>
    </row>
    <row r="7" spans="1:24" hidden="1" x14ac:dyDescent="0.25">
      <c r="A7" s="34"/>
      <c r="H7" s="11"/>
      <c r="V7" t="s">
        <v>18</v>
      </c>
      <c r="W7">
        <v>7</v>
      </c>
      <c r="X7" s="11" t="s">
        <v>36</v>
      </c>
    </row>
    <row r="8" spans="1:24" hidden="1" x14ac:dyDescent="0.25">
      <c r="A8" s="34" t="s">
        <v>29</v>
      </c>
      <c r="H8" s="11"/>
      <c r="V8" t="s">
        <v>20</v>
      </c>
      <c r="W8">
        <v>8</v>
      </c>
      <c r="X8" s="11" t="s">
        <v>37</v>
      </c>
    </row>
    <row r="9" spans="1:24" hidden="1" x14ac:dyDescent="0.25">
      <c r="A9" s="35">
        <v>1</v>
      </c>
      <c r="H9" s="11"/>
      <c r="V9" t="s">
        <v>21</v>
      </c>
      <c r="W9">
        <v>9</v>
      </c>
      <c r="X9" s="11" t="s">
        <v>38</v>
      </c>
    </row>
    <row r="10" spans="1:24" x14ac:dyDescent="0.25">
      <c r="C10" s="8">
        <f>IF(A9=1,carlos!B5,IF(A9=2,ANTONIO!B5,IF(A9=3,JAVIER!B5,IF(A9=4,WILMER!B5,IF(A9=5,DAISON!B5,IF(A9=6,JEFFERSON!B5,IF(A9=7,ANDRES!B5,IF(A9=8,BLANCA!B5,IF(A9=9,ALBEIRO!B5,IF(A9=10,JESUS!B5,IF(A9=11,CESAR!B5,IF(A9=12,JHONFREDY!B5,IF(A9=13,ENRIQUE!B5,IF(A9=14,ALEXANDER!B5,IF(A9=15,ZARCO!B5,IF(A9=16,ROSIRI!B5,"nokas"))))))))))))))))</f>
        <v>52000</v>
      </c>
      <c r="D10" s="4">
        <f>C10/7000</f>
        <v>7.4285714285714288</v>
      </c>
      <c r="H10" s="11"/>
      <c r="V10" t="s">
        <v>22</v>
      </c>
      <c r="W10">
        <v>10</v>
      </c>
      <c r="X10" s="11" t="s">
        <v>39</v>
      </c>
    </row>
    <row r="11" spans="1:24" x14ac:dyDescent="0.25">
      <c r="H11" s="11"/>
      <c r="V11" t="s">
        <v>43</v>
      </c>
      <c r="W11">
        <v>11</v>
      </c>
      <c r="X11" s="11" t="s">
        <v>40</v>
      </c>
    </row>
    <row r="12" spans="1:24" x14ac:dyDescent="0.25">
      <c r="A12" s="3" t="s">
        <v>55</v>
      </c>
      <c r="B12" s="7" t="s">
        <v>50</v>
      </c>
      <c r="C12" s="7" t="s">
        <v>45</v>
      </c>
      <c r="D12" s="7" t="s">
        <v>46</v>
      </c>
      <c r="E12" s="7" t="s">
        <v>47</v>
      </c>
      <c r="F12" s="7" t="s">
        <v>56</v>
      </c>
      <c r="H12" s="11"/>
      <c r="V12" t="s">
        <v>44</v>
      </c>
      <c r="W12">
        <v>12</v>
      </c>
      <c r="X12" s="11" t="s">
        <v>41</v>
      </c>
    </row>
    <row r="13" spans="1:24" x14ac:dyDescent="0.25">
      <c r="B13" s="4" t="str">
        <f>CONCATENATE(A4,"/",A3,"/",2020)</f>
        <v>22/8/2020</v>
      </c>
      <c r="C13" s="30">
        <v>0</v>
      </c>
      <c r="D13" s="30">
        <v>0</v>
      </c>
      <c r="E13" s="30">
        <v>0</v>
      </c>
      <c r="F13" s="4">
        <v>0</v>
      </c>
      <c r="G13" s="4"/>
      <c r="H13" s="10"/>
      <c r="V13" t="s">
        <v>24</v>
      </c>
      <c r="W13">
        <v>13</v>
      </c>
    </row>
    <row r="14" spans="1:24" x14ac:dyDescent="0.25">
      <c r="H14" s="10"/>
      <c r="V14" t="s">
        <v>25</v>
      </c>
      <c r="W14">
        <v>14</v>
      </c>
    </row>
    <row r="15" spans="1:24" x14ac:dyDescent="0.25">
      <c r="H15" s="10"/>
      <c r="V15" t="s">
        <v>26</v>
      </c>
      <c r="W15">
        <v>15</v>
      </c>
    </row>
    <row r="16" spans="1:24" x14ac:dyDescent="0.25">
      <c r="H16" s="10"/>
      <c r="V16" t="s">
        <v>27</v>
      </c>
      <c r="W16">
        <v>16</v>
      </c>
    </row>
    <row r="17" spans="1:23" x14ac:dyDescent="0.25">
      <c r="G17" s="4"/>
      <c r="H17" s="10"/>
      <c r="W17">
        <v>17</v>
      </c>
    </row>
    <row r="18" spans="1:23" x14ac:dyDescent="0.25">
      <c r="G18" s="4"/>
      <c r="H18" s="10"/>
      <c r="W18">
        <v>18</v>
      </c>
    </row>
    <row r="19" spans="1:23" x14ac:dyDescent="0.25">
      <c r="G19" s="4"/>
      <c r="H19" s="10"/>
      <c r="W19">
        <v>19</v>
      </c>
    </row>
    <row r="20" spans="1:23" x14ac:dyDescent="0.25">
      <c r="G20" s="4"/>
      <c r="H20" s="10"/>
      <c r="W20">
        <v>20</v>
      </c>
    </row>
    <row r="21" spans="1:23" x14ac:dyDescent="0.25">
      <c r="G21" s="4"/>
      <c r="W21">
        <v>21</v>
      </c>
    </row>
    <row r="22" spans="1:23" x14ac:dyDescent="0.25">
      <c r="A22" s="7"/>
      <c r="B22" s="7"/>
      <c r="C22" s="7"/>
      <c r="D22" s="7"/>
      <c r="E22" s="3"/>
      <c r="W22">
        <v>22</v>
      </c>
    </row>
    <row r="23" spans="1:23" x14ac:dyDescent="0.25">
      <c r="B23" s="7" t="s">
        <v>70</v>
      </c>
      <c r="C23" s="7">
        <v>0</v>
      </c>
      <c r="D23" s="7">
        <v>5000</v>
      </c>
      <c r="E23" s="7">
        <v>0</v>
      </c>
      <c r="F23" s="3">
        <v>0</v>
      </c>
      <c r="G23" s="4"/>
      <c r="W23">
        <v>23</v>
      </c>
    </row>
    <row r="24" spans="1:23" x14ac:dyDescent="0.25">
      <c r="G24" s="4"/>
      <c r="W24">
        <v>24</v>
      </c>
    </row>
    <row r="25" spans="1:23" x14ac:dyDescent="0.25">
      <c r="G25" s="4"/>
      <c r="W25">
        <v>25</v>
      </c>
    </row>
    <row r="26" spans="1:23" x14ac:dyDescent="0.25">
      <c r="G26" s="4"/>
      <c r="W26">
        <v>26</v>
      </c>
    </row>
    <row r="27" spans="1:23" x14ac:dyDescent="0.25">
      <c r="G27" s="4"/>
      <c r="W27">
        <v>27</v>
      </c>
    </row>
    <row r="28" spans="1:23" x14ac:dyDescent="0.25">
      <c r="G28" s="4"/>
      <c r="W28">
        <v>28</v>
      </c>
    </row>
    <row r="29" spans="1:23" x14ac:dyDescent="0.25">
      <c r="G29" s="4"/>
      <c r="W29">
        <v>29</v>
      </c>
    </row>
    <row r="30" spans="1:23" x14ac:dyDescent="0.25">
      <c r="G30" s="4"/>
      <c r="W30">
        <v>30</v>
      </c>
    </row>
    <row r="31" spans="1:23" x14ac:dyDescent="0.25">
      <c r="G31" s="4"/>
      <c r="W31">
        <v>31</v>
      </c>
    </row>
    <row r="32" spans="1:23" x14ac:dyDescent="0.25">
      <c r="G32" s="4"/>
    </row>
  </sheetData>
  <sheetProtection insertRows="0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4" name="Drop Down 10">
              <controlPr locked="0" defaultSize="0" autoLine="0" autoPict="0">
                <anchor moveWithCells="1">
                  <from>
                    <xdr:col>0</xdr:col>
                    <xdr:colOff>0</xdr:colOff>
                    <xdr:row>12</xdr:row>
                    <xdr:rowOff>9525</xdr:rowOff>
                  </from>
                  <to>
                    <xdr:col>0</xdr:col>
                    <xdr:colOff>990600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5" name="Drop Down 14">
              <controlPr locked="0" defaultSize="0" autoLine="0" autoPict="0">
                <anchor moveWithCells="1">
                  <from>
                    <xdr:col>0</xdr:col>
                    <xdr:colOff>1038225</xdr:colOff>
                    <xdr:row>12</xdr:row>
                    <xdr:rowOff>9525</xdr:rowOff>
                  </from>
                  <to>
                    <xdr:col>1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6" name="Drop Down 19">
              <controlPr locked="0" defaultSize="0" autoLine="0" autoPict="0">
                <anchor moveWithCells="1">
                  <from>
                    <xdr:col>0</xdr:col>
                    <xdr:colOff>781050</xdr:colOff>
                    <xdr:row>0</xdr:row>
                    <xdr:rowOff>180975</xdr:rowOff>
                  </from>
                  <to>
                    <xdr:col>1</xdr:col>
                    <xdr:colOff>923925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7" name="Button 20">
              <controlPr locked="0" defaultSize="0" print="0" autoFill="0" autoPict="0" macro="[0]!operar">
                <anchor moveWithCells="1" sizeWithCells="1">
                  <from>
                    <xdr:col>3</xdr:col>
                    <xdr:colOff>638175</xdr:colOff>
                    <xdr:row>14</xdr:row>
                    <xdr:rowOff>19050</xdr:rowOff>
                  </from>
                  <to>
                    <xdr:col>4</xdr:col>
                    <xdr:colOff>733425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8" name="Button 21">
              <controlPr locked="0" defaultSize="0" print="0" autoFill="0" autoPict="0" macro="[0]!borre">
                <anchor moveWithCells="1" sizeWithCells="1">
                  <from>
                    <xdr:col>3</xdr:col>
                    <xdr:colOff>638175</xdr:colOff>
                    <xdr:row>18</xdr:row>
                    <xdr:rowOff>9525</xdr:rowOff>
                  </from>
                  <to>
                    <xdr:col>4</xdr:col>
                    <xdr:colOff>733425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9" name="Button 22">
              <controlPr defaultSize="0" print="0" autoFill="0" autoPict="0" macro="[0]!consulta">
                <anchor moveWithCells="1" sizeWithCells="1">
                  <from>
                    <xdr:col>0</xdr:col>
                    <xdr:colOff>76200</xdr:colOff>
                    <xdr:row>0</xdr:row>
                    <xdr:rowOff>95250</xdr:rowOff>
                  </from>
                  <to>
                    <xdr:col>0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0" name="Button 23">
              <controlPr defaultSize="0" print="0" autoFill="0" autoPict="0" macro="[0]!muestreo">
                <anchor moveWithCells="1" sizeWithCells="1">
                  <from>
                    <xdr:col>1</xdr:col>
                    <xdr:colOff>781050</xdr:colOff>
                    <xdr:row>15</xdr:row>
                    <xdr:rowOff>104775</xdr:rowOff>
                  </from>
                  <to>
                    <xdr:col>2</xdr:col>
                    <xdr:colOff>733425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2"/>
  <sheetViews>
    <sheetView workbookViewId="0"/>
  </sheetViews>
  <sheetFormatPr baseColWidth="10" defaultRowHeight="15" x14ac:dyDescent="0.25"/>
  <sheetData>
    <row r="1" spans="1:2" x14ac:dyDescent="0.25">
      <c r="A1" t="s">
        <v>7</v>
      </c>
      <c r="B1">
        <f>JAVIER!B5+ANTONIO!B5+carlos!B5+WILMER!B5+DAISON!B5+JEFFERSON!B5+ANDRES!B5+BLANCA!B5+ALBEIRO!B5+JESUS!B5+CESAR!B5+JHONFREDY!B5+ENRIQUE!B5+ALEXANDER!B5+ZARCO!B5+ROSIRI!B5</f>
        <v>1831000</v>
      </c>
    </row>
    <row r="2" spans="1:2" x14ac:dyDescent="0.25">
      <c r="A2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carlos</vt:lpstr>
      <vt:lpstr>ANTONIO</vt:lpstr>
      <vt:lpstr>JAVIER</vt:lpstr>
      <vt:lpstr>DAISON</vt:lpstr>
      <vt:lpstr>WILMER</vt:lpstr>
      <vt:lpstr>JEFFERSON</vt:lpstr>
      <vt:lpstr>ANDRES</vt:lpstr>
      <vt:lpstr>BLANCA</vt:lpstr>
      <vt:lpstr>ALBEIRO</vt:lpstr>
      <vt:lpstr>JESUS</vt:lpstr>
      <vt:lpstr>CESAR</vt:lpstr>
      <vt:lpstr>JHONFREDY</vt:lpstr>
      <vt:lpstr>ENRIQUE</vt:lpstr>
      <vt:lpstr>ALEXANDER</vt:lpstr>
      <vt:lpstr>ZARCO</vt:lpstr>
      <vt:lpstr>ROSIRI</vt:lpstr>
      <vt:lpstr>Hoja1</vt:lpstr>
      <vt:lpstr>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Rivera</dc:creator>
  <cp:lastModifiedBy>Mauricio Rivera</cp:lastModifiedBy>
  <dcterms:created xsi:type="dcterms:W3CDTF">2020-08-20T20:03:17Z</dcterms:created>
  <dcterms:modified xsi:type="dcterms:W3CDTF">2020-08-26T00:09:55Z</dcterms:modified>
</cp:coreProperties>
</file>